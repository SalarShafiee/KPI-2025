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7" codeName="{857A39E2-67AF-9BA6-E15C-A4B3A0C7559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alarshafiee/Desktop/"/>
    </mc:Choice>
  </mc:AlternateContent>
  <xr:revisionPtr revIDLastSave="0" documentId="13_ncr:1_{F8E26D64-1AEC-BB40-A231-BC3522578E0F}" xr6:coauthVersionLast="47" xr6:coauthVersionMax="47" xr10:uidLastSave="{00000000-0000-0000-0000-000000000000}"/>
  <bookViews>
    <workbookView xWindow="0" yWindow="760" windowWidth="29400" windowHeight="17220" tabRatio="421" activeTab="4" xr2:uid="{00000000-000D-0000-FFFF-FFFF00000000}"/>
  </bookViews>
  <sheets>
    <sheet name="Variablen_NICHT_LÖSCHEN" sheetId="19" state="hidden" r:id="rId1"/>
    <sheet name="Tabelle_Vorlage_NICHT_LÖSCHEN" sheetId="20" state="hidden" r:id="rId2"/>
    <sheet name="Dokumenteninformation" sheetId="14" r:id="rId3"/>
    <sheet name="Tabelle (1)" sheetId="11" r:id="rId4"/>
    <sheet name="Tabelle (2)" sheetId="22" r:id="rId5"/>
  </sheets>
  <definedNames>
    <definedName name="Author">Dokumenteninformation!$B$4</definedName>
    <definedName name="Confidentiality">Dokumenteninformation!$B$7</definedName>
    <definedName name="Created">Dokumenteninformation!$B$11</definedName>
    <definedName name="Created_By">Dokumenteninformation!$C$11</definedName>
    <definedName name="_xlnm.Print_Area" localSheetId="2">Dokumenteninformation!$A$1:$D$40</definedName>
    <definedName name="_xlnm.Print_Titles" localSheetId="2">Dokumenteninformation!$29:$29</definedName>
    <definedName name="Released">Dokumenteninformation!$B$13</definedName>
    <definedName name="Released_By">Dokumenteninformation!$C$13</definedName>
    <definedName name="Reviewed">Dokumenteninformation!$B$12</definedName>
    <definedName name="Reviewed_By">Dokumenteninformation!$C$12</definedName>
    <definedName name="Sign_Method">Dokumenteninformation!$D$13</definedName>
    <definedName name="Status_Information">Dokumenteninformation!$B$6</definedName>
    <definedName name="Subject">Dokumenteninformation!$B$2</definedName>
    <definedName name="Title">Dokumenteninformation!$B$1</definedName>
    <definedName name="V_Security_Classification">Variablen_NICHT_LÖSCHEN!$B$2:$B$6</definedName>
    <definedName name="V_Status">Variablen_NICHT_LÖSCHEN!$A$2:$A$5</definedName>
    <definedName name="Version">Dokumenteninformation!$B$5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11" l="1"/>
  <c r="L4" i="11"/>
  <c r="B1" i="22"/>
  <c r="B2" i="22"/>
  <c r="B3" i="22"/>
  <c r="B4" i="22"/>
  <c r="B5" i="22"/>
  <c r="D1" i="22"/>
  <c r="D2" i="22"/>
  <c r="D3" i="22"/>
  <c r="D4" i="22"/>
  <c r="D5" i="22"/>
  <c r="F1" i="22"/>
  <c r="F2" i="22"/>
  <c r="F3" i="22"/>
  <c r="F4" i="22"/>
  <c r="F5" i="22"/>
  <c r="H1" i="22"/>
  <c r="H2" i="22"/>
  <c r="H3" i="22"/>
  <c r="H4" i="22"/>
  <c r="H5" i="22"/>
  <c r="G1" i="22"/>
  <c r="E1" i="22"/>
  <c r="C1" i="22"/>
  <c r="A1" i="22"/>
  <c r="G2" i="22"/>
  <c r="E2" i="22"/>
  <c r="C2" i="22"/>
  <c r="A2" i="22"/>
  <c r="G3" i="22"/>
  <c r="E3" i="22"/>
  <c r="C3" i="22"/>
  <c r="A3" i="22"/>
  <c r="G4" i="22"/>
  <c r="E4" i="22"/>
  <c r="C4" i="22"/>
  <c r="A4" i="22"/>
  <c r="G5" i="22"/>
  <c r="E5" i="22"/>
  <c r="C5" i="22"/>
  <c r="A5" i="22"/>
  <c r="L2" i="11"/>
  <c r="F2" i="11"/>
  <c r="G2" i="11" s="1"/>
  <c r="D2" i="11"/>
  <c r="B6" i="11" s="1"/>
  <c r="B29" i="11"/>
  <c r="B28" i="11"/>
  <c r="K31" i="11"/>
  <c r="K30" i="11"/>
  <c r="K29" i="11"/>
  <c r="K28" i="11"/>
  <c r="N28" i="11" s="1"/>
  <c r="H31" i="11"/>
  <c r="H30" i="11"/>
  <c r="H29" i="11"/>
  <c r="E31" i="11"/>
  <c r="E30" i="11"/>
  <c r="E29" i="11"/>
  <c r="I2" i="11" l="1"/>
  <c r="M2" i="11" s="1"/>
  <c r="B3" i="11"/>
  <c r="B4" i="11"/>
  <c r="B5" i="11"/>
  <c r="D5" i="11" s="1"/>
  <c r="G28" i="11"/>
  <c r="N31" i="11"/>
  <c r="N30" i="11"/>
  <c r="J28" i="11"/>
  <c r="M28" i="11"/>
  <c r="N6" i="11"/>
  <c r="F6" i="11"/>
  <c r="I6" i="11" s="1"/>
  <c r="D6" i="11"/>
  <c r="N5" i="11"/>
  <c r="F5" i="11"/>
  <c r="G5" i="11" s="1"/>
  <c r="N4" i="11"/>
  <c r="F4" i="11"/>
  <c r="I4" i="11" s="1"/>
  <c r="D4" i="11"/>
  <c r="N3" i="11"/>
  <c r="F3" i="11"/>
  <c r="I3" i="11" s="1"/>
  <c r="D3" i="11"/>
  <c r="N2" i="11"/>
  <c r="J2" i="11" l="1"/>
  <c r="L6" i="11"/>
  <c r="M6" i="11" s="1"/>
  <c r="J6" i="11"/>
  <c r="G6" i="11"/>
  <c r="I5" i="11"/>
  <c r="M4" i="11"/>
  <c r="J4" i="11"/>
  <c r="G4" i="11"/>
  <c r="M3" i="11"/>
  <c r="J3" i="11"/>
  <c r="G3" i="11"/>
  <c r="L5" i="11" l="1"/>
  <c r="M5" i="11" s="1"/>
  <c r="J5" i="11"/>
  <c r="G29" i="11"/>
  <c r="N29" i="11"/>
  <c r="J29" i="11" l="1"/>
  <c r="M29" i="11"/>
  <c r="B30" i="11"/>
  <c r="G30" i="11" l="1"/>
  <c r="B31" i="11"/>
  <c r="M30" i="11"/>
  <c r="J30" i="11"/>
  <c r="M31" i="11" l="1"/>
  <c r="J31" i="11"/>
  <c r="G31" i="11"/>
</calcChain>
</file>

<file path=xl/sharedStrings.xml><?xml version="1.0" encoding="utf-8"?>
<sst xmlns="http://schemas.openxmlformats.org/spreadsheetml/2006/main" count="82" uniqueCount="61">
  <si>
    <t>Status</t>
  </si>
  <si>
    <t>Geheimhaltungsstufe</t>
  </si>
  <si>
    <t>Entwurf</t>
  </si>
  <si>
    <t>Öffentlich</t>
  </si>
  <si>
    <t>Freigegeben</t>
  </si>
  <si>
    <t>Intern</t>
  </si>
  <si>
    <t>Ungültig</t>
  </si>
  <si>
    <t>Vertraulich</t>
  </si>
  <si>
    <t>Streng Vertraulich</t>
  </si>
  <si>
    <t>Dokumenttitel</t>
  </si>
  <si>
    <t>Titel über Tabellenblatt 'Dokumenteninformationen' pflegen</t>
  </si>
  <si>
    <t>Betreff/Projekt</t>
  </si>
  <si>
    <t>Betreff/Projekt über Tabellenblatt "Dokumenteninformation" pflegen</t>
  </si>
  <si>
    <t>Autor:</t>
  </si>
  <si>
    <t>Max Mustermann</t>
  </si>
  <si>
    <t>Version:</t>
  </si>
  <si>
    <t>0.1</t>
  </si>
  <si>
    <t>Status:</t>
  </si>
  <si>
    <t>Geheimhaltungsstufe:</t>
  </si>
  <si>
    <t>Datum</t>
  </si>
  <si>
    <t>Name (Abteilung)</t>
  </si>
  <si>
    <t>Unterschrift</t>
  </si>
  <si>
    <t>Erstellt</t>
  </si>
  <si>
    <t/>
  </si>
  <si>
    <t xml:space="preserve"> 
</t>
  </si>
  <si>
    <t>Geprüft</t>
  </si>
  <si>
    <t xml:space="preserve"> </t>
  </si>
  <si>
    <t>Kurzfassung:</t>
  </si>
  <si>
    <t>Verteiler</t>
  </si>
  <si>
    <t>Empfänger</t>
  </si>
  <si>
    <t>Firma/Abteilung</t>
  </si>
  <si>
    <t>E-Mail Adresse</t>
  </si>
  <si>
    <t>Bemerkung</t>
  </si>
  <si>
    <t>Änderungshistorie</t>
  </si>
  <si>
    <t>Version</t>
  </si>
  <si>
    <t>Autor</t>
  </si>
  <si>
    <t>Änderungen</t>
  </si>
  <si>
    <t>Leistungsangebot</t>
  </si>
  <si>
    <t>Planumsatz (soll)</t>
  </si>
  <si>
    <t>Aufträge (soll)</t>
  </si>
  <si>
    <t>Umsatz pro Auftrag</t>
  </si>
  <si>
    <t>Erfolgsquote_1</t>
  </si>
  <si>
    <t>Angebote (soll)</t>
  </si>
  <si>
    <t>Umsatz pro Angebot</t>
  </si>
  <si>
    <t>Erfolgsquote_2</t>
  </si>
  <si>
    <t>VCs (soll)</t>
  </si>
  <si>
    <t>Umsatz pro VC</t>
  </si>
  <si>
    <t>Erfolgsquote_3</t>
  </si>
  <si>
    <t>Leads (soll)</t>
  </si>
  <si>
    <t>Umsatz pro Lead</t>
  </si>
  <si>
    <t>Erfolgsquote_gesamt</t>
  </si>
  <si>
    <t>IAV-Exemplar</t>
  </si>
  <si>
    <t>Q1</t>
  </si>
  <si>
    <t>Q2</t>
  </si>
  <si>
    <t>Q3</t>
  </si>
  <si>
    <t>Q4</t>
  </si>
  <si>
    <t>offener Umsatz (ist)</t>
  </si>
  <si>
    <t>Aufträge (ist)</t>
  </si>
  <si>
    <t>Angebote (ist)</t>
  </si>
  <si>
    <t>VCs (ist)</t>
  </si>
  <si>
    <t>Leads (ist)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</si>
</sst>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* #,##0.00\ &quot;€&quot;_-;\-* #,##0.00\ &quot;€&quot;_-;_-* &quot;-&quot;??\ &quot;€&quot;_-;_-@_-"/>
  </numFmts>
  <fonts count="21" x14ac:knownFonts="1">
    <font>
      <sz val="11"/>
      <name val="Arial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color rgb="FF3F3F3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9"/>
      <name val="Arial"/>
      <family val="2"/>
      <scheme val="minor"/>
    </font>
    <font>
      <sz val="11"/>
      <color theme="4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6"/>
      <name val="Arial"/>
      <family val="2"/>
    </font>
    <font>
      <sz val="11"/>
      <color theme="8"/>
      <name val="Arial"/>
      <family val="2"/>
      <scheme val="minor"/>
    </font>
    <font>
      <b/>
      <sz val="13"/>
      <color theme="1"/>
      <name val="Arial"/>
      <family val="2"/>
      <scheme val="major"/>
    </font>
    <font>
      <b/>
      <sz val="13"/>
      <color theme="1"/>
      <name val="Arial"/>
      <family val="2"/>
      <scheme val="minor"/>
    </font>
    <font>
      <sz val="10"/>
      <name val="Arial"/>
      <family val="2"/>
    </font>
    <font>
      <sz val="11"/>
      <color theme="0"/>
      <name val="Arial"/>
      <family val="2"/>
    </font>
    <font>
      <sz val="11"/>
      <name val="Arial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rgb="FFF80000"/>
        <bgColor indexed="64"/>
      </patternFill>
    </fill>
    <fill>
      <patternFill patternType="solid">
        <fgColor rgb="FFFFD800"/>
        <bgColor indexed="64"/>
      </patternFill>
    </fill>
    <fill>
      <patternFill patternType="solid">
        <fgColor rgb="FF80D800"/>
        <bgColor indexed="64"/>
      </patternFill>
    </fill>
    <fill>
      <patternFill patternType="solid">
        <fgColor rgb="FF001A54"/>
        <bgColor indexed="64"/>
      </patternFill>
    </fill>
    <fill>
      <patternFill patternType="solid">
        <fgColor rgb="FFFDDEFF"/>
        <bgColor indexed="64"/>
      </patternFill>
    </fill>
    <fill>
      <patternFill patternType="solid">
        <fgColor rgb="FF041E96"/>
        <bgColor indexed="64"/>
      </patternFill>
    </fill>
    <fill>
      <patternFill patternType="solid">
        <fgColor rgb="FFFFAFFF"/>
        <bgColor indexed="64"/>
      </patternFill>
    </fill>
    <fill>
      <patternFill patternType="solid">
        <fgColor rgb="FF1446EB"/>
        <bgColor indexed="64"/>
      </patternFill>
    </fill>
    <fill>
      <patternFill patternType="solid">
        <fgColor rgb="FF0091FF"/>
        <bgColor indexed="64"/>
      </patternFill>
    </fill>
    <fill>
      <patternFill patternType="solid">
        <fgColor rgb="FF52C9FF"/>
        <bgColor indexed="64"/>
      </patternFill>
    </fill>
    <fill>
      <patternFill patternType="solid">
        <fgColor rgb="FF96E7FF"/>
        <bgColor indexed="64"/>
      </patternFill>
    </fill>
    <fill>
      <patternFill patternType="solid">
        <fgColor rgb="FFD2F5FF"/>
        <bgColor indexed="64"/>
      </patternFill>
    </fill>
    <fill>
      <patternFill patternType="solid">
        <fgColor rgb="FF5500B4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A200E6"/>
        <bgColor indexed="64"/>
      </patternFill>
    </fill>
    <fill>
      <patternFill patternType="solid">
        <fgColor rgb="FFFF73FA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</fills>
  <borders count="31">
    <border>
      <left/>
      <right/>
      <top/>
      <bottom/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medium">
        <color rgb="FF3F3F3F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6"/>
      </left>
      <right style="medium">
        <color theme="6"/>
      </right>
      <top style="medium">
        <color theme="6"/>
      </top>
      <bottom style="medium">
        <color theme="6"/>
      </bottom>
      <diagonal/>
    </border>
    <border>
      <left/>
      <right/>
      <top/>
      <bottom style="double">
        <color theme="4"/>
      </bottom>
      <diagonal/>
    </border>
    <border>
      <left/>
      <right/>
      <top/>
      <bottom style="double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51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Alignment="0" applyProtection="0"/>
    <xf numFmtId="0" fontId="9" fillId="0" borderId="0" applyNumberFormat="0" applyFill="0" applyAlignment="0" applyProtection="0"/>
    <xf numFmtId="0" fontId="9" fillId="0" borderId="0" applyNumberFormat="0" applyFill="0" applyAlignment="0" applyProtection="0"/>
    <xf numFmtId="0" fontId="9" fillId="0" borderId="0" applyNumberFormat="0" applyFill="0" applyAlignment="0" applyProtection="0"/>
    <xf numFmtId="0" fontId="20" fillId="23" borderId="0" applyNumberFormat="0" applyBorder="0" applyAlignment="0" applyProtection="0"/>
    <xf numFmtId="0" fontId="10" fillId="21" borderId="0" applyBorder="0" applyAlignment="0" applyProtection="0"/>
    <xf numFmtId="0" fontId="3" fillId="22" borderId="0" applyNumberFormat="0" applyBorder="0" applyAlignment="0" applyProtection="0"/>
    <xf numFmtId="0" fontId="12" fillId="0" borderId="2" applyNumberFormat="0" applyAlignment="0" applyProtection="0"/>
    <xf numFmtId="0" fontId="8" fillId="0" borderId="1" applyNumberFormat="0" applyAlignment="0" applyProtection="0"/>
    <xf numFmtId="0" fontId="11" fillId="0" borderId="0" applyNumberFormat="0" applyAlignment="0" applyProtection="0"/>
    <xf numFmtId="0" fontId="12" fillId="0" borderId="4" applyNumberFormat="0" applyFill="0" applyAlignment="0" applyProtection="0"/>
    <xf numFmtId="0" fontId="10" fillId="20" borderId="0" applyNumberFormat="0" applyAlignment="0" applyProtection="0"/>
    <xf numFmtId="0" fontId="15" fillId="0" borderId="0" applyNumberFormat="0" applyFill="0" applyBorder="0" applyAlignment="0" applyProtection="0"/>
    <xf numFmtId="0" fontId="14" fillId="0" borderId="3" applyNumberFormat="0" applyAlignment="0" applyProtection="0"/>
    <xf numFmtId="0" fontId="13" fillId="0" borderId="0" applyNumberFormat="0" applyFill="0" applyBorder="0" applyAlignment="0" applyProtection="0"/>
    <xf numFmtId="0" fontId="9" fillId="0" borderId="5" applyNumberFormat="0" applyFill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10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10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10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10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10" fillId="19" borderId="0" applyNumberFormat="0" applyBorder="0" applyAlignment="0" applyProtection="0"/>
    <xf numFmtId="0" fontId="19" fillId="24" borderId="0" applyBorder="0" applyAlignment="0" applyProtection="0">
      <protection locked="0"/>
    </xf>
    <xf numFmtId="0" fontId="19" fillId="26" borderId="0" applyBorder="0" applyAlignment="0" applyProtection="0">
      <protection locked="0"/>
    </xf>
    <xf numFmtId="0" fontId="6" fillId="25" borderId="0" applyBorder="0" applyAlignment="0" applyProtection="0">
      <alignment horizontal="left" vertical="center"/>
      <protection locked="0"/>
    </xf>
    <xf numFmtId="0" fontId="6" fillId="27" borderId="0" applyBorder="0" applyAlignment="0" applyProtection="0">
      <alignment horizontal="left" vertical="center"/>
      <protection locked="0"/>
    </xf>
    <xf numFmtId="0" fontId="19" fillId="28" borderId="0" applyBorder="0" applyAlignment="0" applyProtection="0">
      <alignment horizontal="left" vertical="center"/>
      <protection locked="0"/>
    </xf>
    <xf numFmtId="0" fontId="19" fillId="29" borderId="0" applyBorder="0" applyAlignment="0" applyProtection="0">
      <alignment horizontal="left" vertical="center"/>
      <protection locked="0"/>
    </xf>
    <xf numFmtId="0" fontId="19" fillId="30" borderId="0" applyBorder="0" applyAlignment="0" applyProtection="0">
      <alignment horizontal="left" vertical="center"/>
      <protection locked="0"/>
    </xf>
    <xf numFmtId="0" fontId="6" fillId="31" borderId="0" applyBorder="0" applyAlignment="0" applyProtection="0">
      <alignment horizontal="left" vertical="center"/>
      <protection locked="0"/>
    </xf>
    <xf numFmtId="0" fontId="6" fillId="34" borderId="0" applyBorder="0" applyAlignment="0" applyProtection="0">
      <alignment horizontal="left" vertical="center"/>
      <protection locked="0"/>
    </xf>
    <xf numFmtId="0" fontId="19" fillId="33" borderId="0" applyBorder="0" applyAlignment="0" applyProtection="0">
      <alignment horizontal="left" vertical="center"/>
      <protection locked="0"/>
    </xf>
    <xf numFmtId="0" fontId="2" fillId="32" borderId="0" applyBorder="0" applyAlignment="0" applyProtection="0"/>
    <xf numFmtId="0" fontId="19" fillId="35" borderId="0" applyBorder="0" applyAlignment="0" applyProtection="0">
      <alignment horizontal="left" vertical="center"/>
      <protection locked="0"/>
    </xf>
    <xf numFmtId="0" fontId="19" fillId="36" borderId="0" applyBorder="0" applyAlignment="0" applyProtection="0">
      <alignment horizontal="left" vertical="center"/>
      <protection locked="0"/>
    </xf>
    <xf numFmtId="164" fontId="6" fillId="0" borderId="0" applyFont="0" applyFill="0" applyBorder="0" applyAlignment="0" applyProtection="0"/>
    <xf numFmtId="0" fontId="1" fillId="0" borderId="0"/>
  </cellStyleXfs>
  <cellXfs count="79">
    <xf numFmtId="0" fontId="0" fillId="0" borderId="0" xfId="0"/>
    <xf numFmtId="0" fontId="0" fillId="0" borderId="0" xfId="0" applyAlignment="1">
      <alignment vertical="top"/>
    </xf>
    <xf numFmtId="0" fontId="7" fillId="0" borderId="0" xfId="0" applyFont="1"/>
    <xf numFmtId="0" fontId="6" fillId="0" borderId="0" xfId="0" applyFont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9" fillId="0" borderId="6" xfId="3" applyBorder="1" applyAlignment="1" applyProtection="1">
      <alignment horizontal="left" vertical="center"/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9" fillId="0" borderId="9" xfId="3" applyBorder="1" applyAlignment="1" applyProtection="1">
      <alignment horizontal="left" vertical="center"/>
      <protection locked="0"/>
    </xf>
    <xf numFmtId="0" fontId="9" fillId="0" borderId="0" xfId="3" applyAlignment="1" applyProtection="1">
      <alignment horizontal="left" vertical="center"/>
      <protection locked="0"/>
    </xf>
    <xf numFmtId="0" fontId="10" fillId="0" borderId="0" xfId="3" applyFont="1" applyAlignment="1" applyProtection="1">
      <alignment horizontal="left" vertical="center" wrapText="1"/>
      <protection locked="0"/>
    </xf>
    <xf numFmtId="0" fontId="17" fillId="0" borderId="0" xfId="2" applyAlignment="1" applyProtection="1">
      <alignment horizontal="left" vertical="center"/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49" fontId="0" fillId="0" borderId="17" xfId="0" applyNumberFormat="1" applyBorder="1" applyAlignment="1" applyProtection="1">
      <alignment horizontal="left" vertical="center" wrapText="1"/>
      <protection locked="0"/>
    </xf>
    <xf numFmtId="14" fontId="0" fillId="0" borderId="18" xfId="0" applyNumberFormat="1" applyBorder="1" applyAlignment="1" applyProtection="1">
      <alignment horizontal="left" vertical="center" wrapText="1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49" fontId="17" fillId="0" borderId="0" xfId="2" applyNumberFormat="1" applyAlignment="1" applyProtection="1">
      <alignment horizontal="left" vertical="center"/>
    </xf>
    <xf numFmtId="49" fontId="9" fillId="0" borderId="0" xfId="3" applyNumberFormat="1" applyAlignment="1" applyProtection="1">
      <alignment horizontal="left" vertical="center"/>
    </xf>
    <xf numFmtId="0" fontId="6" fillId="0" borderId="0" xfId="0" applyFont="1" applyAlignment="1">
      <alignment horizontal="left" vertical="center"/>
    </xf>
    <xf numFmtId="49" fontId="7" fillId="0" borderId="0" xfId="0" applyNumberFormat="1" applyFont="1" applyAlignment="1" applyProtection="1">
      <alignment horizontal="left" vertical="center"/>
      <protection locked="0"/>
    </xf>
    <xf numFmtId="49" fontId="6" fillId="0" borderId="0" xfId="0" applyNumberFormat="1" applyFont="1" applyAlignment="1" applyProtection="1">
      <alignment horizontal="left" vertical="top" wrapText="1"/>
      <protection locked="0"/>
    </xf>
    <xf numFmtId="49" fontId="0" fillId="0" borderId="18" xfId="0" applyNumberFormat="1" applyBorder="1" applyAlignment="1" applyProtection="1">
      <alignment horizontal="left" vertical="center" wrapText="1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0" fillId="0" borderId="14" xfId="0" applyNumberFormat="1" applyBorder="1" applyAlignment="1" applyProtection="1">
      <alignment horizontal="left" vertical="center" wrapText="1"/>
      <protection locked="0"/>
    </xf>
    <xf numFmtId="49" fontId="0" fillId="0" borderId="15" xfId="0" applyNumberFormat="1" applyBorder="1" applyAlignment="1" applyProtection="1">
      <alignment horizontal="left" vertical="center" wrapText="1"/>
      <protection locked="0"/>
    </xf>
    <xf numFmtId="49" fontId="9" fillId="0" borderId="0" xfId="2" applyNumberFormat="1" applyFont="1" applyAlignment="1" applyProtection="1">
      <alignment horizontal="left" vertical="center"/>
      <protection locked="0"/>
    </xf>
    <xf numFmtId="49" fontId="0" fillId="0" borderId="12" xfId="0" applyNumberFormat="1" applyBorder="1" applyAlignment="1" applyProtection="1">
      <alignment horizontal="left" vertical="center"/>
      <protection locked="0"/>
    </xf>
    <xf numFmtId="14" fontId="0" fillId="0" borderId="13" xfId="0" applyNumberFormat="1" applyBorder="1" applyAlignment="1" applyProtection="1">
      <alignment horizontal="left" vertical="center"/>
      <protection locked="0"/>
    </xf>
    <xf numFmtId="14" fontId="0" fillId="0" borderId="15" xfId="0" applyNumberFormat="1" applyBorder="1" applyAlignment="1" applyProtection="1">
      <alignment horizontal="left" vertical="center" wrapText="1"/>
      <protection locked="0"/>
    </xf>
    <xf numFmtId="49" fontId="0" fillId="0" borderId="16" xfId="0" applyNumberFormat="1" applyBorder="1" applyAlignment="1" applyProtection="1">
      <alignment horizontal="left" vertical="center" wrapText="1"/>
      <protection locked="0"/>
    </xf>
    <xf numFmtId="0" fontId="0" fillId="0" borderId="20" xfId="0" applyBorder="1" applyAlignment="1" applyProtection="1">
      <alignment horizontal="left" vertical="center"/>
      <protection locked="0"/>
    </xf>
    <xf numFmtId="49" fontId="0" fillId="0" borderId="19" xfId="0" applyNumberFormat="1" applyBorder="1" applyAlignment="1" applyProtection="1">
      <alignment horizontal="left" vertical="center" wrapText="1"/>
      <protection locked="0"/>
    </xf>
    <xf numFmtId="0" fontId="0" fillId="0" borderId="20" xfId="0" applyBorder="1" applyProtection="1">
      <protection locked="0"/>
    </xf>
    <xf numFmtId="49" fontId="0" fillId="0" borderId="14" xfId="0" applyNumberFormat="1" applyBorder="1" applyAlignment="1" applyProtection="1">
      <alignment horizontal="left" vertical="center"/>
      <protection locked="0"/>
    </xf>
    <xf numFmtId="0" fontId="20" fillId="0" borderId="11" xfId="3" applyFont="1" applyBorder="1" applyAlignment="1" applyProtection="1">
      <alignment horizontal="left" vertical="center" wrapText="1"/>
      <protection locked="0"/>
    </xf>
    <xf numFmtId="49" fontId="0" fillId="0" borderId="21" xfId="0" applyNumberFormat="1" applyBorder="1" applyAlignment="1" applyProtection="1">
      <alignment horizontal="left" vertical="center" wrapText="1"/>
      <protection locked="0"/>
    </xf>
    <xf numFmtId="14" fontId="0" fillId="0" borderId="21" xfId="0" applyNumberFormat="1" applyBorder="1" applyAlignment="1" applyProtection="1">
      <alignment horizontal="left" vertical="center" wrapText="1"/>
      <protection locked="0"/>
    </xf>
    <xf numFmtId="0" fontId="0" fillId="0" borderId="22" xfId="0" applyBorder="1" applyProtection="1">
      <protection locked="0"/>
    </xf>
    <xf numFmtId="0" fontId="0" fillId="0" borderId="22" xfId="0" applyBorder="1" applyAlignment="1" applyProtection="1">
      <alignment horizontal="left" vertical="center"/>
      <protection locked="0"/>
    </xf>
    <xf numFmtId="164" fontId="0" fillId="0" borderId="24" xfId="0" applyNumberFormat="1" applyBorder="1"/>
    <xf numFmtId="0" fontId="0" fillId="37" borderId="23" xfId="0" applyFill="1" applyBorder="1" applyAlignment="1">
      <alignment horizontal="center"/>
    </xf>
    <xf numFmtId="164" fontId="0" fillId="0" borderId="25" xfId="49" applyFont="1" applyBorder="1"/>
    <xf numFmtId="0" fontId="9" fillId="0" borderId="25" xfId="0" applyFon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20" fillId="30" borderId="29" xfId="50" applyFont="1" applyFill="1" applyBorder="1"/>
    <xf numFmtId="0" fontId="0" fillId="0" borderId="26" xfId="0" applyBorder="1" applyAlignment="1">
      <alignment horizontal="center"/>
    </xf>
    <xf numFmtId="0" fontId="10" fillId="38" borderId="28" xfId="50" applyFont="1" applyFill="1" applyBorder="1"/>
    <xf numFmtId="164" fontId="0" fillId="0" borderId="25" xfId="0" applyNumberFormat="1" applyBorder="1"/>
    <xf numFmtId="0" fontId="0" fillId="37" borderId="26" xfId="0" applyFill="1" applyBorder="1" applyAlignment="1">
      <alignment horizontal="center"/>
    </xf>
    <xf numFmtId="0" fontId="1" fillId="39" borderId="29" xfId="50" applyFill="1" applyBorder="1"/>
    <xf numFmtId="0" fontId="1" fillId="39" borderId="28" xfId="50" applyFill="1" applyBorder="1"/>
    <xf numFmtId="0" fontId="10" fillId="41" borderId="29" xfId="50" applyFont="1" applyFill="1" applyBorder="1"/>
    <xf numFmtId="0" fontId="10" fillId="41" borderId="30" xfId="50" applyFont="1" applyFill="1" applyBorder="1"/>
    <xf numFmtId="0" fontId="0" fillId="0" borderId="30" xfId="0" applyBorder="1"/>
    <xf numFmtId="0" fontId="0" fillId="0" borderId="24" xfId="0" applyBorder="1"/>
    <xf numFmtId="0" fontId="1" fillId="40" borderId="29" xfId="50" applyFill="1" applyBorder="1"/>
    <xf numFmtId="0" fontId="1" fillId="40" borderId="28" xfId="50" applyFill="1" applyBorder="1"/>
    <xf numFmtId="0" fontId="10" fillId="38" borderId="30" xfId="50" applyFont="1" applyFill="1" applyBorder="1"/>
    <xf numFmtId="0" fontId="0" fillId="32" borderId="26" xfId="0" applyFill="1" applyBorder="1" applyAlignment="1">
      <alignment horizontal="center"/>
    </xf>
    <xf numFmtId="0" fontId="0" fillId="0" borderId="23" xfId="0" applyBorder="1" applyAlignment="1">
      <alignment horizontal="center"/>
    </xf>
    <xf numFmtId="2" fontId="0" fillId="0" borderId="23" xfId="0" applyNumberFormat="1" applyBorder="1" applyAlignment="1">
      <alignment horizontal="center"/>
    </xf>
    <xf numFmtId="0" fontId="0" fillId="37" borderId="25" xfId="0" applyFill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164" fontId="0" fillId="37" borderId="25" xfId="0" applyNumberFormat="1" applyFill="1" applyBorder="1"/>
    <xf numFmtId="1" fontId="0" fillId="0" borderId="25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4" fontId="1" fillId="0" borderId="10" xfId="3" applyNumberFormat="1" applyFont="1" applyBorder="1" applyAlignment="1" applyProtection="1">
      <alignment horizontal="left" vertical="center" wrapText="1"/>
      <protection locked="0"/>
    </xf>
    <xf numFmtId="49" fontId="1" fillId="0" borderId="10" xfId="3" applyNumberFormat="1" applyFont="1" applyBorder="1" applyAlignment="1" applyProtection="1">
      <alignment horizontal="left" vertical="center" wrapText="1"/>
      <protection locked="0"/>
    </xf>
    <xf numFmtId="14" fontId="1" fillId="0" borderId="0" xfId="3" applyNumberFormat="1" applyFont="1" applyAlignment="1" applyProtection="1">
      <alignment horizontal="left" vertical="center" wrapText="1"/>
      <protection locked="0"/>
    </xf>
    <xf numFmtId="49" fontId="1" fillId="0" borderId="0" xfId="3" applyNumberFormat="1" applyFont="1" applyAlignment="1" applyProtection="1">
      <alignment horizontal="left" vertical="center" wrapText="1"/>
      <protection locked="0"/>
    </xf>
    <xf numFmtId="49" fontId="1" fillId="0" borderId="14" xfId="3" applyNumberFormat="1" applyFont="1" applyBorder="1" applyAlignment="1" applyProtection="1">
      <alignment horizontal="left" vertical="center" wrapText="1"/>
      <protection locked="0"/>
    </xf>
    <xf numFmtId="14" fontId="1" fillId="0" borderId="15" xfId="3" applyNumberFormat="1" applyFont="1" applyBorder="1" applyAlignment="1" applyProtection="1">
      <alignment horizontal="left" vertical="center" wrapText="1"/>
      <protection locked="0"/>
    </xf>
    <xf numFmtId="49" fontId="1" fillId="0" borderId="15" xfId="3" applyNumberFormat="1" applyFont="1" applyBorder="1" applyAlignment="1" applyProtection="1">
      <alignment horizontal="left" vertical="center" wrapText="1"/>
      <protection locked="0"/>
    </xf>
    <xf numFmtId="49" fontId="1" fillId="0" borderId="16" xfId="3" applyNumberFormat="1" applyFont="1" applyBorder="1" applyAlignment="1" applyProtection="1">
      <alignment horizontal="left" vertical="center" wrapText="1"/>
      <protection locked="0"/>
    </xf>
    <xf numFmtId="49" fontId="18" fillId="0" borderId="20" xfId="0" applyNumberFormat="1" applyFont="1" applyBorder="1" applyAlignment="1" applyProtection="1">
      <alignment horizontal="justify" vertical="top" wrapText="1"/>
      <protection locked="0"/>
    </xf>
  </cellXfs>
  <cellStyles count="51">
    <cellStyle name="20% - Accent1" xfId="18" builtinId="30" hidden="1"/>
    <cellStyle name="20% - Accent2" xfId="21" builtinId="34" hidden="1"/>
    <cellStyle name="20% - Accent3" xfId="24" builtinId="38" hidden="1"/>
    <cellStyle name="20% - Accent4" xfId="27" builtinId="42" hidden="1"/>
    <cellStyle name="20% - Accent5" xfId="30" builtinId="46" hidden="1"/>
    <cellStyle name="20% - Accent6" xfId="33" builtinId="50" hidden="1"/>
    <cellStyle name="40% - Accent1" xfId="19" builtinId="31" hidden="1"/>
    <cellStyle name="40% - Accent2" xfId="22" builtinId="35" hidden="1"/>
    <cellStyle name="40% - Accent3" xfId="25" builtinId="39" hidden="1"/>
    <cellStyle name="40% - Accent4" xfId="28" builtinId="43" hidden="1"/>
    <cellStyle name="40% - Accent5" xfId="31" builtinId="47" hidden="1"/>
    <cellStyle name="40% - Accent6" xfId="34" builtinId="51" hidden="1"/>
    <cellStyle name="60% - Accent1" xfId="20" builtinId="32" hidden="1"/>
    <cellStyle name="60% - Accent2" xfId="23" builtinId="36" hidden="1"/>
    <cellStyle name="60% - Accent3" xfId="26" builtinId="40" hidden="1"/>
    <cellStyle name="60% - Accent4" xfId="29" builtinId="44" hidden="1"/>
    <cellStyle name="60% - Accent5" xfId="32" builtinId="48" hidden="1"/>
    <cellStyle name="60% - Accent6" xfId="35" builtinId="52" hidden="1"/>
    <cellStyle name="B0" xfId="36" xr:uid="{00000000-0005-0000-0000-000012000000}"/>
    <cellStyle name="B1" xfId="37" xr:uid="{00000000-0005-0000-0000-000013000000}"/>
    <cellStyle name="B2" xfId="40" xr:uid="{00000000-0005-0000-0000-000016000000}"/>
    <cellStyle name="B3" xfId="41" xr:uid="{00000000-0005-0000-0000-000017000000}"/>
    <cellStyle name="B4" xfId="42" xr:uid="{00000000-0005-0000-0000-000018000000}"/>
    <cellStyle name="B5" xfId="43" xr:uid="{00000000-0005-0000-0000-00001B000000}"/>
    <cellStyle name="B6" xfId="46" xr:uid="{EC88C596-5039-4B8E-9A7C-3FF4D536357C}"/>
    <cellStyle name="Bad" xfId="7" builtinId="27" customBuiltin="1"/>
    <cellStyle name="Calculation" xfId="11" builtinId="22" customBuiltin="1"/>
    <cellStyle name="Check Cell" xfId="13" builtinId="23" customBuiltin="1"/>
    <cellStyle name="Currency" xfId="49" builtinId="4"/>
    <cellStyle name="Explanatory Text" xfId="16" builtinId="53" customBuiltin="1"/>
    <cellStyle name="Good" xfId="6" builtinId="26" customBuiltin="1"/>
    <cellStyle name="Grau" xfId="44" xr:uid="{00000000-0005-0000-0000-00002B000000}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M1" xfId="45" xr:uid="{00000000-0005-0000-0000-000020000000}"/>
    <cellStyle name="M2" xfId="47" xr:uid="{47BAED80-1E39-45F0-A38F-E3BDD521921A}"/>
    <cellStyle name="M4" xfId="48" xr:uid="{E43E2987-D0E5-4337-A879-2BE94A246771}"/>
    <cellStyle name="M5" xfId="39" xr:uid="{00000000-0005-0000-0000-000015000000}"/>
    <cellStyle name="M6" xfId="38" xr:uid="{00000000-0005-0000-0000-000014000000}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Standard 2" xfId="50" xr:uid="{EA507305-8171-4FA8-8A43-1295BE6C8907}"/>
    <cellStyle name="Title" xfId="1" builtinId="15" hidden="1" customBuiltin="1"/>
    <cellStyle name="Total" xfId="17" builtinId="25" customBuiltin="1"/>
    <cellStyle name="Warning Text" xfId="14" builtinId="11" customBuiltin="1"/>
  </cellStyles>
  <dxfs count="81">
    <dxf>
      <border>
        <left/>
      </border>
    </dxf>
    <dxf>
      <border>
        <left/>
      </border>
    </dxf>
    <dxf>
      <fill>
        <patternFill>
          <bgColor rgb="FFCCCCCC"/>
        </patternFill>
      </fill>
      <border>
        <top/>
      </border>
    </dxf>
    <dxf>
      <fill>
        <patternFill patternType="none">
          <bgColor auto="1"/>
        </patternFill>
      </fill>
      <border>
        <top/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7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fill>
        <patternFill>
          <bgColor rgb="FFCCCCCC"/>
        </patternFill>
      </fill>
      <border>
        <top/>
      </border>
    </dxf>
    <dxf>
      <fill>
        <patternFill patternType="none">
          <bgColor auto="1"/>
        </patternFill>
      </fill>
      <border>
        <top/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4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fill>
        <patternFill>
          <bgColor rgb="FFCCCCCC"/>
        </patternFill>
      </fill>
      <border>
        <top/>
      </border>
    </dxf>
    <dxf>
      <fill>
        <patternFill patternType="none">
          <bgColor auto="1"/>
        </patternFill>
      </fill>
      <border>
        <top/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5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fill>
        <patternFill>
          <bgColor rgb="FFCCCCCC"/>
        </patternFill>
      </fill>
      <border>
        <top/>
      </border>
    </dxf>
    <dxf>
      <fill>
        <patternFill patternType="none">
          <bgColor auto="1"/>
        </patternFill>
      </fill>
      <border>
        <top/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6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7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4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5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0"/>
      </font>
      <fill>
        <patternFill patternType="solid">
          <fgColor theme="6"/>
          <bgColor theme="6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>
        <left/>
      </border>
    </dxf>
    <dxf>
      <border>
        <left/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top style="thin">
          <color auto="1"/>
        </top>
      </border>
    </dxf>
    <dxf>
      <font>
        <b/>
        <i val="0"/>
        <color theme="1"/>
      </font>
      <fill>
        <patternFill patternType="none">
          <fgColor indexed="64"/>
          <bgColor auto="1"/>
        </patternFill>
      </fill>
    </dxf>
    <dxf>
      <font>
        <color theme="1"/>
      </font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</dxfs>
  <tableStyles count="9" defaultTableStyle="001 Tabelle Standard hell" defaultPivotStyle="PivotStyleLight16">
    <tableStyle name="001 Tabelle Standard hell" pivot="0" count="9" xr9:uid="{00000000-0011-0000-FFFF-FFFF00000000}">
      <tableStyleElement type="wholeTable" dxfId="80"/>
      <tableStyleElement type="headerRow" dxfId="79"/>
      <tableStyleElement type="totalRow" dxfId="78"/>
      <tableStyleElement type="firstColumn" dxfId="77"/>
      <tableStyleElement type="lastColumn" dxfId="76"/>
      <tableStyleElement type="firstRowStripe" dxfId="75"/>
      <tableStyleElement type="secondRowStripe" dxfId="74"/>
      <tableStyleElement type="firstColumnStripe" dxfId="73"/>
      <tableStyleElement type="secondColumnStripe" dxfId="72"/>
    </tableStyle>
    <tableStyle name="Tabelle hell B2" pivot="0" count="9" xr9:uid="{00000000-0011-0000-FFFF-FFFF03000000}">
      <tableStyleElement type="wholeTable" dxfId="71"/>
      <tableStyleElement type="headerRow" dxfId="70"/>
      <tableStyleElement type="totalRow" dxfId="69"/>
      <tableStyleElement type="firstColumn" dxfId="68"/>
      <tableStyleElement type="lastColumn" dxfId="67"/>
      <tableStyleElement type="firstRowStripe" dxfId="66"/>
      <tableStyleElement type="secondRowStripe" dxfId="65"/>
      <tableStyleElement type="firstColumnStripe" dxfId="64"/>
      <tableStyleElement type="secondColumnStripe" dxfId="63"/>
    </tableStyle>
    <tableStyle name="Tabelle hell B3" pivot="0" count="9" xr9:uid="{00000000-0011-0000-FFFF-FFFF02000000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  <tableStyleElement type="secondColumnStripe" dxfId="54"/>
    </tableStyle>
    <tableStyle name="Tabelle hell B4" pivot="0" count="9" xr9:uid="{00000000-0011-0000-FFFF-FFFF01000000}">
      <tableStyleElement type="wholeTable" dxfId="53"/>
      <tableStyleElement type="headerRow" dxfId="52"/>
      <tableStyleElement type="totalRow" dxfId="51"/>
      <tableStyleElement type="firstColumn" dxfId="50"/>
      <tableStyleElement type="lastColumn" dxfId="49"/>
      <tableStyleElement type="firstRowStripe" dxfId="48"/>
      <tableStyleElement type="secondRowStripe" dxfId="47"/>
      <tableStyleElement type="firstColumnStripe" dxfId="46"/>
      <tableStyleElement type="secondColumnStripe" dxfId="45"/>
    </tableStyle>
    <tableStyle name="Tabelle hell M1" pivot="0" count="9" xr9:uid="{00000000-0011-0000-FFFF-FFFF04000000}">
      <tableStyleElement type="wholeTable" dxfId="44"/>
      <tableStyleElement type="headerRow" dxfId="43"/>
      <tableStyleElement type="totalRow" dxfId="42"/>
      <tableStyleElement type="firstColumn" dxfId="41"/>
      <tableStyleElement type="lastColumn" dxfId="40"/>
      <tableStyleElement type="firstRowStripe" dxfId="39"/>
      <tableStyleElement type="secondRowStripe" dxfId="38"/>
      <tableStyleElement type="firstColumnStripe" dxfId="37"/>
      <tableStyleElement type="secondColumnStripe" dxfId="36"/>
    </tableStyle>
    <tableStyle name="Tabelle mittel B2" pivot="0" count="9" xr9:uid="{00000000-0011-0000-FFFF-FFFF07000000}">
      <tableStyleElement type="wholeTable" dxfId="35"/>
      <tableStyleElement type="headerRow" dxfId="34"/>
      <tableStyleElement type="totalRow" dxfId="33"/>
      <tableStyleElement type="firstColumn" dxfId="32"/>
      <tableStyleElement type="lastColumn" dxfId="31"/>
      <tableStyleElement type="firstRowStripe" dxfId="30"/>
      <tableStyleElement type="secondRowStripe" dxfId="29"/>
      <tableStyleElement type="firstColumnStripe" dxfId="28"/>
      <tableStyleElement type="secondColumnStripe" dxfId="27"/>
    </tableStyle>
    <tableStyle name="Tabelle mittel B3" pivot="0" count="9" xr9:uid="{00000000-0011-0000-FFFF-FFFF06000000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secondRowStripe" dxfId="20"/>
      <tableStyleElement type="firstColumnStripe" dxfId="19"/>
      <tableStyleElement type="secondColumnStripe" dxfId="18"/>
    </tableStyle>
    <tableStyle name="Tabelle mittel B4" pivot="0" count="9" xr9:uid="{00000000-0011-0000-FFFF-FFFF05000000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secondRowStripe" dxfId="11"/>
      <tableStyleElement type="firstColumnStripe" dxfId="10"/>
      <tableStyleElement type="secondColumnStripe" dxfId="9"/>
    </tableStyle>
    <tableStyle name="Tabelle mittel M1" pivot="0" count="9" xr9:uid="{00000000-0011-0000-FFFF-FFFF08000000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5DAEDB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94C60E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69B3"/>
      <rgbColor rgb="00CCFFFF"/>
      <rgbColor rgb="00CCFFCC"/>
      <rgbColor rgb="00FFFF99"/>
      <rgbColor rgb="00B2D2E8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C3868"/>
      <rgbColor rgb="00339966"/>
      <rgbColor rgb="000E4A80"/>
      <rgbColor rgb="0014639E"/>
      <rgbColor rgb="00009FCA"/>
      <rgbColor rgb="00993366"/>
      <rgbColor rgb="00E6962C"/>
      <rgbColor rgb="00333333"/>
    </indexedColors>
    <mruColors>
      <color rgb="FFD2F5FF"/>
      <color rgb="FFFF73FA"/>
      <color rgb="FFDC46F3"/>
      <color rgb="FFA200E6"/>
      <color rgb="FFCCCCCC"/>
      <color rgb="FF5500B4"/>
      <color rgb="FF96E7FF"/>
      <color rgb="FF52C9FF"/>
      <color rgb="FF0091FF"/>
      <color rgb="FF1446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Aufträge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'Tabelle (1)'!$C$1</c:f>
              <c:strCache>
                <c:ptCount val="1"/>
                <c:pt idx="0">
                  <c:v>Aufträge (soll)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(1)'!$C$3:$C$6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1-4DB8-B4F7-1A895E5888DC}"/>
            </c:ext>
          </c:extLst>
        </c:ser>
        <c:ser>
          <c:idx val="1"/>
          <c:order val="1"/>
          <c:tx>
            <c:strRef>
              <c:f>'Tabelle (1)'!$C$27</c:f>
              <c:strCache>
                <c:ptCount val="1"/>
                <c:pt idx="0">
                  <c:v>Aufträge (ist)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(1)'!$C$28:$C$31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1-4DB8-B4F7-1A895E588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4869392"/>
        <c:axId val="1064869752"/>
      </c:lineChart>
      <c:catAx>
        <c:axId val="106486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752"/>
        <c:crosses val="autoZero"/>
        <c:auto val="1"/>
        <c:lblAlgn val="ctr"/>
        <c:lblOffset val="100"/>
        <c:noMultiLvlLbl val="0"/>
      </c:catAx>
      <c:valAx>
        <c:axId val="106486975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39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Angebote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'Tabelle (1)'!$F$1</c:f>
              <c:strCache>
                <c:ptCount val="1"/>
                <c:pt idx="0">
                  <c:v>Angebote (soll)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(1)'!$F$3:$F$6</c:f>
              <c:numCache>
                <c:formatCode>0</c:formatCode>
                <c:ptCount val="4"/>
                <c:pt idx="0">
                  <c:v>1.25</c:v>
                </c:pt>
                <c:pt idx="1">
                  <c:v>2.5</c:v>
                </c:pt>
                <c:pt idx="2">
                  <c:v>3.75</c:v>
                </c:pt>
                <c:pt idx="3">
                  <c:v>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74-43D6-9BF3-5050D84E5C79}"/>
            </c:ext>
          </c:extLst>
        </c:ser>
        <c:ser>
          <c:idx val="0"/>
          <c:order val="1"/>
          <c:tx>
            <c:strRef>
              <c:f>'Tabelle (1)'!$F$27</c:f>
              <c:strCache>
                <c:ptCount val="1"/>
                <c:pt idx="0">
                  <c:v>Angebote (ist)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(1)'!$F$28:$F$31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A74-43D6-9BF3-5050D84E5C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4869392"/>
        <c:axId val="1064869752"/>
      </c:lineChart>
      <c:catAx>
        <c:axId val="106486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752"/>
        <c:crosses val="autoZero"/>
        <c:auto val="1"/>
        <c:lblAlgn val="ctr"/>
        <c:lblOffset val="100"/>
        <c:noMultiLvlLbl val="0"/>
      </c:catAx>
      <c:valAx>
        <c:axId val="106486975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VC´s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'Tabelle (1)'!$I$1</c:f>
              <c:strCache>
                <c:ptCount val="1"/>
                <c:pt idx="0">
                  <c:v>VCs (soll)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(1)'!$I$3:$I$6</c:f>
              <c:numCache>
                <c:formatCode>0</c:formatCode>
                <c:ptCount val="4"/>
                <c:pt idx="0">
                  <c:v>3.125</c:v>
                </c:pt>
                <c:pt idx="1">
                  <c:v>6.25</c:v>
                </c:pt>
                <c:pt idx="2">
                  <c:v>9.375</c:v>
                </c:pt>
                <c:pt idx="3">
                  <c:v>9.375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5E-4CB9-8647-314D6333ED85}"/>
            </c:ext>
          </c:extLst>
        </c:ser>
        <c:ser>
          <c:idx val="0"/>
          <c:order val="1"/>
          <c:tx>
            <c:strRef>
              <c:f>'Tabelle (1)'!$I$27</c:f>
              <c:strCache>
                <c:ptCount val="1"/>
                <c:pt idx="0">
                  <c:v>VCs (ist)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  <a:prstDash val="sysDash"/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(1)'!$I$28:$I$31</c:f>
              <c:numCache>
                <c:formatCode>General</c:formatCode>
                <c:ptCount val="4"/>
                <c:pt idx="0">
                  <c:v>5</c:v>
                </c:pt>
                <c:pt idx="1">
                  <c:v>6</c:v>
                </c:pt>
                <c:pt idx="2">
                  <c:v>10</c:v>
                </c:pt>
                <c:pt idx="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5E-4CB9-8647-314D6333E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4869392"/>
        <c:axId val="1064869752"/>
      </c:lineChart>
      <c:catAx>
        <c:axId val="106486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752"/>
        <c:crosses val="autoZero"/>
        <c:auto val="1"/>
        <c:lblAlgn val="ctr"/>
        <c:lblOffset val="100"/>
        <c:noMultiLvlLbl val="0"/>
      </c:catAx>
      <c:valAx>
        <c:axId val="1064869752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Leads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'Tabelle (1)'!$L$1</c:f>
              <c:strCache>
                <c:ptCount val="1"/>
                <c:pt idx="0">
                  <c:v>Leads (soll)</c:v>
                </c:pt>
              </c:strCache>
            </c:strRef>
          </c:tx>
          <c:spPr>
            <a:ln w="28575" cap="rnd">
              <a:solidFill>
                <a:srgbClr val="F8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80000"/>
              </a:solidFill>
              <a:ln w="9525">
                <a:solidFill>
                  <a:srgbClr val="F80000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(1)'!$L$3:$L$6</c:f>
              <c:numCache>
                <c:formatCode>0</c:formatCode>
                <c:ptCount val="4"/>
                <c:pt idx="0">
                  <c:v>10.416666666666668</c:v>
                </c:pt>
                <c:pt idx="1">
                  <c:v>20.833333333333336</c:v>
                </c:pt>
                <c:pt idx="2">
                  <c:v>31.25</c:v>
                </c:pt>
                <c:pt idx="3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8A-4933-8223-99A2D1C863DE}"/>
            </c:ext>
          </c:extLst>
        </c:ser>
        <c:ser>
          <c:idx val="0"/>
          <c:order val="1"/>
          <c:tx>
            <c:strRef>
              <c:f>'Tabelle (1)'!$L$27</c:f>
              <c:strCache>
                <c:ptCount val="1"/>
                <c:pt idx="0">
                  <c:v>Leads (ist)</c:v>
                </c:pt>
              </c:strCache>
            </c:strRef>
          </c:tx>
          <c:spPr>
            <a:ln w="28575" cap="rnd">
              <a:solidFill>
                <a:srgbClr val="F8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rgbClr val="F80000"/>
              </a:solidFill>
              <a:ln w="9525">
                <a:solidFill>
                  <a:srgbClr val="FF0000"/>
                </a:solidFill>
                <a:prstDash val="sysDash"/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(1)'!$L$28:$L$31</c:f>
              <c:numCache>
                <c:formatCode>General</c:formatCode>
                <c:ptCount val="4"/>
                <c:pt idx="0">
                  <c:v>8</c:v>
                </c:pt>
                <c:pt idx="1">
                  <c:v>12</c:v>
                </c:pt>
                <c:pt idx="2">
                  <c:v>20</c:v>
                </c:pt>
                <c:pt idx="3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68A-4933-8223-99A2D1C86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4869392"/>
        <c:axId val="1064869752"/>
      </c:lineChart>
      <c:catAx>
        <c:axId val="106486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752"/>
        <c:crosses val="autoZero"/>
        <c:auto val="1"/>
        <c:lblAlgn val="ctr"/>
        <c:lblOffset val="100"/>
        <c:noMultiLvlLbl val="0"/>
      </c:catAx>
      <c:valAx>
        <c:axId val="1064869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Funnel (soll)</a:t>
            </a:r>
          </a:p>
        </c:rich>
      </c:tx>
      <c:layout>
        <c:manualLayout>
          <c:xMode val="edge"/>
          <c:yMode val="edge"/>
          <c:x val="0.3600998376565327"/>
          <c:y val="2.46913580246913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'Tabelle (1)'!$C$1</c:f>
              <c:strCache>
                <c:ptCount val="1"/>
                <c:pt idx="0">
                  <c:v>Aufträge (soll)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(1)'!$C$3:$C$6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64-4E21-9953-254A267FF1BE}"/>
            </c:ext>
          </c:extLst>
        </c:ser>
        <c:ser>
          <c:idx val="2"/>
          <c:order val="1"/>
          <c:tx>
            <c:strRef>
              <c:f>'Tabelle (1)'!$F$1</c:f>
              <c:strCache>
                <c:ptCount val="1"/>
                <c:pt idx="0">
                  <c:v>Angebote (soll)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'Tabelle (1)'!$F$3:$F$6</c:f>
              <c:numCache>
                <c:formatCode>0</c:formatCode>
                <c:ptCount val="4"/>
                <c:pt idx="0">
                  <c:v>1.25</c:v>
                </c:pt>
                <c:pt idx="1">
                  <c:v>2.5</c:v>
                </c:pt>
                <c:pt idx="2">
                  <c:v>3.75</c:v>
                </c:pt>
                <c:pt idx="3">
                  <c:v>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64-4E21-9953-254A267FF1BE}"/>
            </c:ext>
          </c:extLst>
        </c:ser>
        <c:ser>
          <c:idx val="3"/>
          <c:order val="2"/>
          <c:tx>
            <c:strRef>
              <c:f>'Tabelle (1)'!$I$1</c:f>
              <c:strCache>
                <c:ptCount val="1"/>
                <c:pt idx="0">
                  <c:v>VCs (soll)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val>
            <c:numRef>
              <c:f>'Tabelle (1)'!$I$3:$I$6</c:f>
              <c:numCache>
                <c:formatCode>0</c:formatCode>
                <c:ptCount val="4"/>
                <c:pt idx="0">
                  <c:v>3.125</c:v>
                </c:pt>
                <c:pt idx="1">
                  <c:v>6.25</c:v>
                </c:pt>
                <c:pt idx="2">
                  <c:v>9.375</c:v>
                </c:pt>
                <c:pt idx="3">
                  <c:v>9.375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64-4E21-9953-254A267FF1BE}"/>
            </c:ext>
          </c:extLst>
        </c:ser>
        <c:ser>
          <c:idx val="4"/>
          <c:order val="3"/>
          <c:tx>
            <c:strRef>
              <c:f>'Tabelle (1)'!$L$1</c:f>
              <c:strCache>
                <c:ptCount val="1"/>
                <c:pt idx="0">
                  <c:v>Leads (soll)</c:v>
                </c:pt>
              </c:strCache>
            </c:strRef>
          </c:tx>
          <c:spPr>
            <a:ln w="28575" cap="rnd">
              <a:solidFill>
                <a:srgbClr val="F8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80000"/>
              </a:solidFill>
              <a:ln w="9525">
                <a:solidFill>
                  <a:srgbClr val="F80000"/>
                </a:solidFill>
              </a:ln>
              <a:effectLst/>
            </c:spPr>
          </c:marker>
          <c:val>
            <c:numRef>
              <c:f>'Tabelle (1)'!$L$3:$L$6</c:f>
              <c:numCache>
                <c:formatCode>0</c:formatCode>
                <c:ptCount val="4"/>
                <c:pt idx="0">
                  <c:v>10.416666666666668</c:v>
                </c:pt>
                <c:pt idx="1">
                  <c:v>20.833333333333336</c:v>
                </c:pt>
                <c:pt idx="2">
                  <c:v>31.25</c:v>
                </c:pt>
                <c:pt idx="3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64-4E21-9953-254A267FF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4869392"/>
        <c:axId val="1064869752"/>
      </c:lineChart>
      <c:catAx>
        <c:axId val="106486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752"/>
        <c:crosses val="autoZero"/>
        <c:auto val="1"/>
        <c:lblAlgn val="ctr"/>
        <c:lblOffset val="100"/>
        <c:noMultiLvlLbl val="0"/>
      </c:catAx>
      <c:valAx>
        <c:axId val="1064869752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39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Funnel (ist)</a:t>
            </a:r>
          </a:p>
        </c:rich>
      </c:tx>
      <c:layout>
        <c:manualLayout>
          <c:xMode val="edge"/>
          <c:yMode val="edge"/>
          <c:x val="0.3600998376565327"/>
          <c:y val="2.46913580246913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'Tabelle (1)'!$C$27</c:f>
              <c:strCache>
                <c:ptCount val="1"/>
                <c:pt idx="0">
                  <c:v>Aufträge (ist)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(1)'!$C$28:$C$31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F-4C98-A38A-EDA9C8226694}"/>
            </c:ext>
          </c:extLst>
        </c:ser>
        <c:ser>
          <c:idx val="2"/>
          <c:order val="1"/>
          <c:tx>
            <c:strRef>
              <c:f>'Tabelle (1)'!$F$27</c:f>
              <c:strCache>
                <c:ptCount val="1"/>
                <c:pt idx="0">
                  <c:v>Angebote (ist)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(1)'!$F$28:$F$31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1F-4C98-A38A-EDA9C8226694}"/>
            </c:ext>
          </c:extLst>
        </c:ser>
        <c:ser>
          <c:idx val="3"/>
          <c:order val="2"/>
          <c:tx>
            <c:strRef>
              <c:f>'Tabelle (1)'!$I$27</c:f>
              <c:strCache>
                <c:ptCount val="1"/>
                <c:pt idx="0">
                  <c:v>VCs (ist)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D800"/>
              </a:solidFill>
              <a:ln w="9525">
                <a:solidFill>
                  <a:srgbClr val="FFD800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(1)'!$I$28:$I$31</c:f>
              <c:numCache>
                <c:formatCode>General</c:formatCode>
                <c:ptCount val="4"/>
                <c:pt idx="0">
                  <c:v>5</c:v>
                </c:pt>
                <c:pt idx="1">
                  <c:v>6</c:v>
                </c:pt>
                <c:pt idx="2">
                  <c:v>10</c:v>
                </c:pt>
                <c:pt idx="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1F-4C98-A38A-EDA9C8226694}"/>
            </c:ext>
          </c:extLst>
        </c:ser>
        <c:ser>
          <c:idx val="4"/>
          <c:order val="3"/>
          <c:tx>
            <c:strRef>
              <c:f>'Tabelle (1)'!$L$27</c:f>
              <c:strCache>
                <c:ptCount val="1"/>
                <c:pt idx="0">
                  <c:v>Leads (ist)</c:v>
                </c:pt>
              </c:strCache>
            </c:strRef>
          </c:tx>
          <c:spPr>
            <a:ln w="28575" cap="rnd">
              <a:solidFill>
                <a:srgbClr val="F80000"/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rgbClr val="F80000"/>
              </a:solidFill>
              <a:ln w="9525">
                <a:solidFill>
                  <a:srgbClr val="F80000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(1)'!$L$28:$L$31</c:f>
              <c:numCache>
                <c:formatCode>General</c:formatCode>
                <c:ptCount val="4"/>
                <c:pt idx="0">
                  <c:v>8</c:v>
                </c:pt>
                <c:pt idx="1">
                  <c:v>12</c:v>
                </c:pt>
                <c:pt idx="2">
                  <c:v>20</c:v>
                </c:pt>
                <c:pt idx="3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1F-4C98-A38A-EDA9C8226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4869392"/>
        <c:axId val="1064869752"/>
      </c:lineChart>
      <c:catAx>
        <c:axId val="106486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752"/>
        <c:crosses val="autoZero"/>
        <c:auto val="1"/>
        <c:lblAlgn val="ctr"/>
        <c:lblOffset val="100"/>
        <c:noMultiLvlLbl val="0"/>
      </c:catAx>
      <c:valAx>
        <c:axId val="1064869752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39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Quoten (ist)</a:t>
            </a:r>
          </a:p>
        </c:rich>
      </c:tx>
      <c:layout>
        <c:manualLayout>
          <c:xMode val="edge"/>
          <c:yMode val="edge"/>
          <c:x val="0.3600998376565327"/>
          <c:y val="2.46913580246913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'Tabelle (1)'!$E$27</c:f>
              <c:strCache>
                <c:ptCount val="1"/>
                <c:pt idx="0">
                  <c:v>Erfolgsquote_1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(1)'!$E$28:$E$31</c:f>
              <c:numCache>
                <c:formatCode>General</c:formatCode>
                <c:ptCount val="4"/>
                <c:pt idx="0">
                  <c:v>0.5</c:v>
                </c:pt>
                <c:pt idx="1">
                  <c:v>0.5</c:v>
                </c:pt>
                <c:pt idx="2">
                  <c:v>0.4</c:v>
                </c:pt>
                <c:pt idx="3" formatCode="0.00">
                  <c:v>0.66666666666666663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CF-44B5-9814-441F2E5C3378}"/>
            </c:ext>
          </c:extLst>
        </c:ser>
        <c:ser>
          <c:idx val="2"/>
          <c:order val="1"/>
          <c:tx>
            <c:strRef>
              <c:f>'Tabelle (1)'!$H$27</c:f>
              <c:strCache>
                <c:ptCount val="1"/>
                <c:pt idx="0">
                  <c:v>Erfolgsquote_2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(1)'!$H$28:$H$31</c:f>
              <c:numCache>
                <c:formatCode>0.00</c:formatCode>
                <c:ptCount val="4"/>
                <c:pt idx="0" formatCode="General">
                  <c:v>0.5</c:v>
                </c:pt>
                <c:pt idx="1">
                  <c:v>0.33333333333333331</c:v>
                </c:pt>
                <c:pt idx="2" formatCode="General">
                  <c:v>0.5</c:v>
                </c:pt>
                <c:pt idx="3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CF-44B5-9814-441F2E5C3378}"/>
            </c:ext>
          </c:extLst>
        </c:ser>
        <c:ser>
          <c:idx val="3"/>
          <c:order val="2"/>
          <c:tx>
            <c:strRef>
              <c:f>'Tabelle (1)'!$K$27</c:f>
              <c:strCache>
                <c:ptCount val="1"/>
                <c:pt idx="0">
                  <c:v>Erfolgsquote_3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(1)'!$K$28:$K$31</c:f>
              <c:numCache>
                <c:formatCode>General</c:formatCode>
                <c:ptCount val="4"/>
                <c:pt idx="0" formatCode="0.00">
                  <c:v>0.625</c:v>
                </c:pt>
                <c:pt idx="1">
                  <c:v>0.5</c:v>
                </c:pt>
                <c:pt idx="2">
                  <c:v>0.5</c:v>
                </c:pt>
                <c:pt idx="3" formatCode="0.00">
                  <c:v>0.47619047619047616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CF-44B5-9814-441F2E5C3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4869392"/>
        <c:axId val="1064869752"/>
      </c:lineChart>
      <c:catAx>
        <c:axId val="106486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752"/>
        <c:crosses val="autoZero"/>
        <c:auto val="1"/>
        <c:lblAlgn val="ctr"/>
        <c:lblOffset val="100"/>
        <c:noMultiLvlLbl val="0"/>
      </c:catAx>
      <c:valAx>
        <c:axId val="10648697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392"/>
        <c:crosses val="autoZero"/>
        <c:crossBetween val="between"/>
        <c:majorUnit val="0.1"/>
        <c:min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Quoten (soll)</a:t>
            </a:r>
          </a:p>
        </c:rich>
      </c:tx>
      <c:layout>
        <c:manualLayout>
          <c:xMode val="edge"/>
          <c:yMode val="edge"/>
          <c:x val="0.3600998376565327"/>
          <c:y val="2.46913580246913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'Tabelle (1)'!$E$1</c:f>
              <c:strCache>
                <c:ptCount val="1"/>
                <c:pt idx="0">
                  <c:v>Erfolgsquote_1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(1)'!$E$3:$E$6</c:f>
              <c:numCache>
                <c:formatCode>General</c:formatCode>
                <c:ptCount val="4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A-4835-8934-1486BA2308C0}"/>
            </c:ext>
          </c:extLst>
        </c:ser>
        <c:ser>
          <c:idx val="2"/>
          <c:order val="1"/>
          <c:tx>
            <c:strRef>
              <c:f>'Tabelle (1)'!$H$1</c:f>
              <c:strCache>
                <c:ptCount val="1"/>
                <c:pt idx="0">
                  <c:v>Erfolgsquote_2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(1)'!$H$3:$H$6</c:f>
              <c:numCache>
                <c:formatCode>General</c:formatCode>
                <c:ptCount val="4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3A-4835-8934-1486BA2308C0}"/>
            </c:ext>
          </c:extLst>
        </c:ser>
        <c:ser>
          <c:idx val="3"/>
          <c:order val="2"/>
          <c:tx>
            <c:strRef>
              <c:f>'Tabelle (1)'!$K$1</c:f>
              <c:strCache>
                <c:ptCount val="1"/>
                <c:pt idx="0">
                  <c:v>Erfolgsquote_3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(1)'!$K$3:$K$6</c:f>
              <c:numCache>
                <c:formatCode>General</c:formatCode>
                <c:ptCount val="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3A-4835-8934-1486BA230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4869392"/>
        <c:axId val="1064869752"/>
      </c:lineChart>
      <c:catAx>
        <c:axId val="106486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752"/>
        <c:crosses val="autoZero"/>
        <c:auto val="1"/>
        <c:lblAlgn val="ctr"/>
        <c:lblOffset val="100"/>
        <c:noMultiLvlLbl val="0"/>
      </c:catAx>
      <c:valAx>
        <c:axId val="10648697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392"/>
        <c:crosses val="autoZero"/>
        <c:crossBetween val="between"/>
        <c:majorUnit val="0.1"/>
        <c:min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Funnel</a:t>
            </a:r>
          </a:p>
        </c:rich>
      </c:tx>
      <c:layout>
        <c:manualLayout>
          <c:xMode val="edge"/>
          <c:yMode val="edge"/>
          <c:x val="0.3600998376565327"/>
          <c:y val="2.469135802469135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'Tabelle (1)'!$C$27</c:f>
              <c:strCache>
                <c:ptCount val="1"/>
                <c:pt idx="0">
                  <c:v>Aufträge (ist)</c:v>
                </c:pt>
              </c:strCache>
            </c:strRef>
          </c:tx>
          <c:spPr>
            <a:ln w="28575">
              <a:solidFill>
                <a:schemeClr val="accent2"/>
              </a:solidFill>
              <a:prstDash val="sysDash"/>
            </a:ln>
          </c:spPr>
          <c:marker>
            <c:symbol val="circle"/>
            <c:size val="5"/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(1)'!$C$28:$C$31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A9F-4925-B964-BC18C31FF127}"/>
            </c:ext>
          </c:extLst>
        </c:ser>
        <c:ser>
          <c:idx val="5"/>
          <c:order val="1"/>
          <c:tx>
            <c:strRef>
              <c:f>'Tabelle (1)'!$F$27</c:f>
              <c:strCache>
                <c:ptCount val="1"/>
                <c:pt idx="0">
                  <c:v>Angebote (ist)</c:v>
                </c:pt>
              </c:strCache>
            </c:strRef>
          </c:tx>
          <c:spPr>
            <a:ln w="28575">
              <a:solidFill>
                <a:schemeClr val="accent6"/>
              </a:solidFill>
              <a:prstDash val="sysDash"/>
            </a:ln>
          </c:spPr>
          <c:marker>
            <c:symbol val="circle"/>
            <c:size val="5"/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(1)'!$F$28:$F$31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A9F-4925-B964-BC18C31FF127}"/>
            </c:ext>
          </c:extLst>
        </c:ser>
        <c:ser>
          <c:idx val="6"/>
          <c:order val="2"/>
          <c:tx>
            <c:strRef>
              <c:f>'Tabelle (1)'!$I$27</c:f>
              <c:strCache>
                <c:ptCount val="1"/>
                <c:pt idx="0">
                  <c:v>VCs (ist)</c:v>
                </c:pt>
              </c:strCache>
            </c:strRef>
          </c:tx>
          <c:spPr>
            <a:ln w="28575">
              <a:solidFill>
                <a:srgbClr val="FFC0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(1)'!$I$28:$I$31</c:f>
              <c:numCache>
                <c:formatCode>General</c:formatCode>
                <c:ptCount val="4"/>
                <c:pt idx="0">
                  <c:v>5</c:v>
                </c:pt>
                <c:pt idx="1">
                  <c:v>6</c:v>
                </c:pt>
                <c:pt idx="2">
                  <c:v>10</c:v>
                </c:pt>
                <c:pt idx="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A9F-4925-B964-BC18C31FF127}"/>
            </c:ext>
          </c:extLst>
        </c:ser>
        <c:ser>
          <c:idx val="7"/>
          <c:order val="3"/>
          <c:tx>
            <c:strRef>
              <c:f>'Tabelle (1)'!$L$27</c:f>
              <c:strCache>
                <c:ptCount val="1"/>
                <c:pt idx="0">
                  <c:v>Leads (ist)</c:v>
                </c:pt>
              </c:strCache>
            </c:strRef>
          </c:tx>
          <c:spPr>
            <a:ln w="28575">
              <a:solidFill>
                <a:srgbClr val="F80000"/>
              </a:solidFill>
              <a:prstDash val="sysDash"/>
            </a:ln>
          </c:spPr>
          <c:marker>
            <c:symbol val="circle"/>
            <c:size val="5"/>
            <c:spPr>
              <a:solidFill>
                <a:srgbClr val="F80000"/>
              </a:solidFill>
              <a:ln w="9525">
                <a:solidFill>
                  <a:srgbClr val="F80000"/>
                </a:solidFill>
              </a:ln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(1)'!$L$28:$L$31</c:f>
              <c:numCache>
                <c:formatCode>General</c:formatCode>
                <c:ptCount val="4"/>
                <c:pt idx="0">
                  <c:v>8</c:v>
                </c:pt>
                <c:pt idx="1">
                  <c:v>12</c:v>
                </c:pt>
                <c:pt idx="2">
                  <c:v>20</c:v>
                </c:pt>
                <c:pt idx="3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A9F-4925-B964-BC18C31FF127}"/>
            </c:ext>
          </c:extLst>
        </c:ser>
        <c:ser>
          <c:idx val="0"/>
          <c:order val="4"/>
          <c:tx>
            <c:strRef>
              <c:f>'Tabelle (1)'!$C$1</c:f>
              <c:strCache>
                <c:ptCount val="1"/>
                <c:pt idx="0">
                  <c:v>Aufträge (soll)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'Tabelle (1)'!$A$28:$A$31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'Tabelle (1)'!$C$3:$C$6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9F-4925-B964-BC18C31FF127}"/>
            </c:ext>
          </c:extLst>
        </c:ser>
        <c:ser>
          <c:idx val="2"/>
          <c:order val="5"/>
          <c:tx>
            <c:strRef>
              <c:f>'Tabelle (1)'!$F$1</c:f>
              <c:strCache>
                <c:ptCount val="1"/>
                <c:pt idx="0">
                  <c:v>Angebote (soll)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'Tabelle (1)'!$F$3:$F$6</c:f>
              <c:numCache>
                <c:formatCode>0</c:formatCode>
                <c:ptCount val="4"/>
                <c:pt idx="0">
                  <c:v>1.25</c:v>
                </c:pt>
                <c:pt idx="1">
                  <c:v>2.5</c:v>
                </c:pt>
                <c:pt idx="2">
                  <c:v>3.75</c:v>
                </c:pt>
                <c:pt idx="3">
                  <c:v>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A9F-4925-B964-BC18C31FF127}"/>
            </c:ext>
          </c:extLst>
        </c:ser>
        <c:ser>
          <c:idx val="3"/>
          <c:order val="6"/>
          <c:tx>
            <c:strRef>
              <c:f>'Tabelle (1)'!$I$1</c:f>
              <c:strCache>
                <c:ptCount val="1"/>
                <c:pt idx="0">
                  <c:v>VCs (soll)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val>
            <c:numRef>
              <c:f>'Tabelle (1)'!$I$3:$I$6</c:f>
              <c:numCache>
                <c:formatCode>0</c:formatCode>
                <c:ptCount val="4"/>
                <c:pt idx="0">
                  <c:v>3.125</c:v>
                </c:pt>
                <c:pt idx="1">
                  <c:v>6.25</c:v>
                </c:pt>
                <c:pt idx="2">
                  <c:v>9.375</c:v>
                </c:pt>
                <c:pt idx="3">
                  <c:v>9.375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A9F-4925-B964-BC18C31FF127}"/>
            </c:ext>
          </c:extLst>
        </c:ser>
        <c:ser>
          <c:idx val="4"/>
          <c:order val="7"/>
          <c:tx>
            <c:strRef>
              <c:f>'Tabelle (1)'!$L$1</c:f>
              <c:strCache>
                <c:ptCount val="1"/>
                <c:pt idx="0">
                  <c:v>Leads (soll)</c:v>
                </c:pt>
              </c:strCache>
            </c:strRef>
          </c:tx>
          <c:spPr>
            <a:ln w="28575" cap="rnd">
              <a:solidFill>
                <a:srgbClr val="F8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80000"/>
              </a:solidFill>
              <a:ln w="9525">
                <a:solidFill>
                  <a:srgbClr val="F80000"/>
                </a:solidFill>
              </a:ln>
              <a:effectLst/>
            </c:spPr>
          </c:marker>
          <c:val>
            <c:numRef>
              <c:f>'Tabelle (1)'!$L$3:$L$6</c:f>
              <c:numCache>
                <c:formatCode>0</c:formatCode>
                <c:ptCount val="4"/>
                <c:pt idx="0">
                  <c:v>10.416666666666668</c:v>
                </c:pt>
                <c:pt idx="1">
                  <c:v>20.833333333333336</c:v>
                </c:pt>
                <c:pt idx="2">
                  <c:v>31.25</c:v>
                </c:pt>
                <c:pt idx="3">
                  <c:v>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A9F-4925-B964-BC18C31FF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4869392"/>
        <c:axId val="1064869752"/>
      </c:lineChart>
      <c:catAx>
        <c:axId val="106486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752"/>
        <c:crosses val="autoZero"/>
        <c:auto val="1"/>
        <c:lblAlgn val="ctr"/>
        <c:lblOffset val="100"/>
        <c:noMultiLvlLbl val="0"/>
      </c:catAx>
      <c:valAx>
        <c:axId val="106486975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4869392"/>
        <c:crosses val="autoZero"/>
        <c:crossBetween val="between"/>
        <c:majorUnit val="5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8</xdr:row>
      <xdr:rowOff>9525</xdr:rowOff>
    </xdr:from>
    <xdr:to>
      <xdr:col>3</xdr:col>
      <xdr:colOff>152400</xdr:colOff>
      <xdr:row>25</xdr:row>
      <xdr:rowOff>19050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7F2C6AB-002F-A2BC-1AE0-B4E33216E3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209550</xdr:colOff>
      <xdr:row>8</xdr:row>
      <xdr:rowOff>0</xdr:rowOff>
    </xdr:from>
    <xdr:to>
      <xdr:col>6</xdr:col>
      <xdr:colOff>381000</xdr:colOff>
      <xdr:row>25</xdr:row>
      <xdr:rowOff>9525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F8F2906C-BEAA-4C95-9819-17EA19794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428625</xdr:colOff>
      <xdr:row>8</xdr:row>
      <xdr:rowOff>9525</xdr:rowOff>
    </xdr:from>
    <xdr:to>
      <xdr:col>10</xdr:col>
      <xdr:colOff>809625</xdr:colOff>
      <xdr:row>25</xdr:row>
      <xdr:rowOff>19050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EA0C78C-80A9-485F-B59A-5BECF5B2E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857250</xdr:colOff>
      <xdr:row>8</xdr:row>
      <xdr:rowOff>0</xdr:rowOff>
    </xdr:from>
    <xdr:to>
      <xdr:col>15</xdr:col>
      <xdr:colOff>104775</xdr:colOff>
      <xdr:row>25</xdr:row>
      <xdr:rowOff>9525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51F7EC81-5432-483A-8210-DD8CFF0B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19050</xdr:colOff>
      <xdr:row>32</xdr:row>
      <xdr:rowOff>171450</xdr:rowOff>
    </xdr:from>
    <xdr:to>
      <xdr:col>3</xdr:col>
      <xdr:colOff>123825</xdr:colOff>
      <xdr:row>50</xdr:row>
      <xdr:rowOff>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9F4E139B-4F2F-49F3-BC77-427FFB3EA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114300</xdr:colOff>
      <xdr:row>33</xdr:row>
      <xdr:rowOff>0</xdr:rowOff>
    </xdr:from>
    <xdr:to>
      <xdr:col>6</xdr:col>
      <xdr:colOff>342900</xdr:colOff>
      <xdr:row>50</xdr:row>
      <xdr:rowOff>9525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478741EF-0C61-41D5-898E-D82DB81D2E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628650</xdr:colOff>
      <xdr:row>32</xdr:row>
      <xdr:rowOff>161925</xdr:rowOff>
    </xdr:from>
    <xdr:to>
      <xdr:col>15</xdr:col>
      <xdr:colOff>742950</xdr:colOff>
      <xdr:row>49</xdr:row>
      <xdr:rowOff>171450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D70714AF-5311-487C-9C93-1C0A5434A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609600</xdr:colOff>
      <xdr:row>32</xdr:row>
      <xdr:rowOff>161925</xdr:rowOff>
    </xdr:from>
    <xdr:to>
      <xdr:col>12</xdr:col>
      <xdr:colOff>619125</xdr:colOff>
      <xdr:row>49</xdr:row>
      <xdr:rowOff>171450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10E8D0DF-BA37-46F9-82A7-7C2405AB8A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47625</xdr:colOff>
      <xdr:row>50</xdr:row>
      <xdr:rowOff>9525</xdr:rowOff>
    </xdr:from>
    <xdr:to>
      <xdr:col>6</xdr:col>
      <xdr:colOff>314325</xdr:colOff>
      <xdr:row>77</xdr:row>
      <xdr:rowOff>57149</xdr:rowOff>
    </xdr:to>
    <xdr:graphicFrame macro="">
      <xdr:nvGraphicFramePr>
        <xdr:cNvPr id="47" name="Diagramm 9">
          <a:extLst>
            <a:ext uri="{FF2B5EF4-FFF2-40B4-BE49-F238E27FC236}">
              <a16:creationId xmlns:a16="http://schemas.microsoft.com/office/drawing/2014/main" id="{37CA9EF2-4EFD-4177-9660-BC5B45697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456229</xdr:colOff>
      <xdr:row>53</xdr:row>
      <xdr:rowOff>175373</xdr:rowOff>
    </xdr:from>
    <xdr:to>
      <xdr:col>45</xdr:col>
      <xdr:colOff>351406</xdr:colOff>
      <xdr:row>59</xdr:row>
      <xdr:rowOff>174992</xdr:rowOff>
    </xdr:to>
    <xdr:sp macro="" textlink="">
      <xdr:nvSpPr>
        <xdr:cNvPr id="429" name="Trapezoid 30">
          <a:extLst>
            <a:ext uri="{FF2B5EF4-FFF2-40B4-BE49-F238E27FC236}">
              <a16:creationId xmlns:a16="http://schemas.microsoft.com/office/drawing/2014/main" id="{64E9EE77-CED4-E79D-EFA9-8F5E707E84E3}"/>
            </a:ext>
          </a:extLst>
        </xdr:cNvPr>
        <xdr:cNvSpPr/>
      </xdr:nvSpPr>
      <xdr:spPr>
        <a:xfrm flipV="1">
          <a:off x="34197141" y="9801226"/>
          <a:ext cx="7560000" cy="1075384"/>
        </a:xfrm>
        <a:prstGeom prst="trapezoid">
          <a:avLst>
            <a:gd name="adj" fmla="val 185971"/>
          </a:avLst>
        </a:prstGeom>
        <a:solidFill>
          <a:srgbClr val="F8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38</xdr:col>
      <xdr:colOff>744783</xdr:colOff>
      <xdr:row>60</xdr:row>
      <xdr:rowOff>4526</xdr:rowOff>
    </xdr:from>
    <xdr:to>
      <xdr:col>43</xdr:col>
      <xdr:colOff>82626</xdr:colOff>
      <xdr:row>65</xdr:row>
      <xdr:rowOff>177970</xdr:rowOff>
    </xdr:to>
    <xdr:sp macro="" textlink="">
      <xdr:nvSpPr>
        <xdr:cNvPr id="432" name="Trapezoid 31">
          <a:extLst>
            <a:ext uri="{FF2B5EF4-FFF2-40B4-BE49-F238E27FC236}">
              <a16:creationId xmlns:a16="http://schemas.microsoft.com/office/drawing/2014/main" id="{3724BF20-AAFF-4128-8F8F-A9D1050D304A}"/>
            </a:ext>
          </a:extLst>
        </xdr:cNvPr>
        <xdr:cNvSpPr/>
      </xdr:nvSpPr>
      <xdr:spPr>
        <a:xfrm flipV="1">
          <a:off x="36188989" y="10885438"/>
          <a:ext cx="3596078" cy="1069914"/>
        </a:xfrm>
        <a:prstGeom prst="trapezoid">
          <a:avLst>
            <a:gd name="adj" fmla="val 67642"/>
          </a:avLst>
        </a:prstGeom>
        <a:solidFill>
          <a:srgbClr val="FFD8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39</xdr:col>
      <xdr:colOff>611991</xdr:colOff>
      <xdr:row>65</xdr:row>
      <xdr:rowOff>174810</xdr:rowOff>
    </xdr:from>
    <xdr:to>
      <xdr:col>42</xdr:col>
      <xdr:colOff>217050</xdr:colOff>
      <xdr:row>71</xdr:row>
      <xdr:rowOff>168960</xdr:rowOff>
    </xdr:to>
    <xdr:sp macro="" textlink="">
      <xdr:nvSpPr>
        <xdr:cNvPr id="433" name="Trapezoid 32">
          <a:extLst>
            <a:ext uri="{FF2B5EF4-FFF2-40B4-BE49-F238E27FC236}">
              <a16:creationId xmlns:a16="http://schemas.microsoft.com/office/drawing/2014/main" id="{110AF91E-FC72-421E-924E-62A7BCF623CC}"/>
            </a:ext>
          </a:extLst>
        </xdr:cNvPr>
        <xdr:cNvSpPr/>
      </xdr:nvSpPr>
      <xdr:spPr>
        <a:xfrm flipV="1">
          <a:off x="36907844" y="11952192"/>
          <a:ext cx="2160000" cy="1069915"/>
        </a:xfrm>
        <a:prstGeom prst="trapezoid">
          <a:avLst>
            <a:gd name="adj" fmla="val 31821"/>
          </a:avLst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40</xdr:col>
      <xdr:colOff>99885</xdr:colOff>
      <xdr:row>71</xdr:row>
      <xdr:rowOff>178171</xdr:rowOff>
    </xdr:from>
    <xdr:to>
      <xdr:col>41</xdr:col>
      <xdr:colOff>688238</xdr:colOff>
      <xdr:row>77</xdr:row>
      <xdr:rowOff>172321</xdr:rowOff>
    </xdr:to>
    <xdr:sp macro="" textlink="">
      <xdr:nvSpPr>
        <xdr:cNvPr id="436" name="Trapezoid 33">
          <a:extLst>
            <a:ext uri="{FF2B5EF4-FFF2-40B4-BE49-F238E27FC236}">
              <a16:creationId xmlns:a16="http://schemas.microsoft.com/office/drawing/2014/main" id="{36C84C6E-96C8-47FA-977F-78BE2A5470E6}"/>
            </a:ext>
          </a:extLst>
        </xdr:cNvPr>
        <xdr:cNvSpPr/>
      </xdr:nvSpPr>
      <xdr:spPr>
        <a:xfrm flipV="1">
          <a:off x="37247385" y="13031318"/>
          <a:ext cx="1440000" cy="1069915"/>
        </a:xfrm>
        <a:prstGeom prst="trapezoid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34</xdr:col>
      <xdr:colOff>422623</xdr:colOff>
      <xdr:row>53</xdr:row>
      <xdr:rowOff>175370</xdr:rowOff>
    </xdr:from>
    <xdr:to>
      <xdr:col>47</xdr:col>
      <xdr:colOff>504489</xdr:colOff>
      <xdr:row>59</xdr:row>
      <xdr:rowOff>169520</xdr:rowOff>
    </xdr:to>
    <xdr:sp macro="" textlink="">
      <xdr:nvSpPr>
        <xdr:cNvPr id="430" name="Trapezoid 30">
          <a:extLst>
            <a:ext uri="{FF2B5EF4-FFF2-40B4-BE49-F238E27FC236}">
              <a16:creationId xmlns:a16="http://schemas.microsoft.com/office/drawing/2014/main" id="{813E4243-5182-4CB6-87BC-3F92A2F01712}"/>
            </a:ext>
          </a:extLst>
        </xdr:cNvPr>
        <xdr:cNvSpPr/>
      </xdr:nvSpPr>
      <xdr:spPr>
        <a:xfrm flipV="1">
          <a:off x="32460241" y="9801223"/>
          <a:ext cx="11153277" cy="1069915"/>
        </a:xfrm>
        <a:prstGeom prst="trapezoid">
          <a:avLst>
            <a:gd name="adj" fmla="val 367986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39</xdr:col>
      <xdr:colOff>146959</xdr:colOff>
      <xdr:row>60</xdr:row>
      <xdr:rowOff>8531</xdr:rowOff>
    </xdr:from>
    <xdr:to>
      <xdr:col>42</xdr:col>
      <xdr:colOff>825854</xdr:colOff>
      <xdr:row>65</xdr:row>
      <xdr:rowOff>168787</xdr:rowOff>
    </xdr:to>
    <xdr:sp macro="" textlink="">
      <xdr:nvSpPr>
        <xdr:cNvPr id="431" name="Trapezoid 30">
          <a:extLst>
            <a:ext uri="{FF2B5EF4-FFF2-40B4-BE49-F238E27FC236}">
              <a16:creationId xmlns:a16="http://schemas.microsoft.com/office/drawing/2014/main" id="{813927E1-0A9B-4938-91A9-4235D50562DA}"/>
            </a:ext>
          </a:extLst>
        </xdr:cNvPr>
        <xdr:cNvSpPr/>
      </xdr:nvSpPr>
      <xdr:spPr>
        <a:xfrm flipV="1">
          <a:off x="36442812" y="10889443"/>
          <a:ext cx="3233836" cy="1056726"/>
        </a:xfrm>
        <a:prstGeom prst="trapezoid">
          <a:avLst>
            <a:gd name="adj" fmla="val 83118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40</xdr:col>
      <xdr:colOff>186741</xdr:colOff>
      <xdr:row>65</xdr:row>
      <xdr:rowOff>175368</xdr:rowOff>
    </xdr:from>
    <xdr:to>
      <xdr:col>41</xdr:col>
      <xdr:colOff>775654</xdr:colOff>
      <xdr:row>71</xdr:row>
      <xdr:rowOff>169518</xdr:rowOff>
    </xdr:to>
    <xdr:sp macro="" textlink="">
      <xdr:nvSpPr>
        <xdr:cNvPr id="434" name="Trapezoid 30">
          <a:extLst>
            <a:ext uri="{FF2B5EF4-FFF2-40B4-BE49-F238E27FC236}">
              <a16:creationId xmlns:a16="http://schemas.microsoft.com/office/drawing/2014/main" id="{30B49A8C-7CF4-4842-935B-2767A346BB53}"/>
            </a:ext>
          </a:extLst>
        </xdr:cNvPr>
        <xdr:cNvSpPr/>
      </xdr:nvSpPr>
      <xdr:spPr>
        <a:xfrm flipV="1">
          <a:off x="37334241" y="11952750"/>
          <a:ext cx="1440560" cy="1069915"/>
        </a:xfrm>
        <a:prstGeom prst="trapezoid">
          <a:avLst>
            <a:gd name="adj" fmla="val 14327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40</xdr:col>
      <xdr:colOff>358192</xdr:colOff>
      <xdr:row>71</xdr:row>
      <xdr:rowOff>165841</xdr:rowOff>
    </xdr:from>
    <xdr:to>
      <xdr:col>41</xdr:col>
      <xdr:colOff>587105</xdr:colOff>
      <xdr:row>77</xdr:row>
      <xdr:rowOff>159991</xdr:rowOff>
    </xdr:to>
    <xdr:sp macro="" textlink="">
      <xdr:nvSpPr>
        <xdr:cNvPr id="435" name="Trapezoid 30">
          <a:extLst>
            <a:ext uri="{FF2B5EF4-FFF2-40B4-BE49-F238E27FC236}">
              <a16:creationId xmlns:a16="http://schemas.microsoft.com/office/drawing/2014/main" id="{7B4C0865-7BC5-471B-996F-15DE5AA6802C}"/>
            </a:ext>
          </a:extLst>
        </xdr:cNvPr>
        <xdr:cNvSpPr/>
      </xdr:nvSpPr>
      <xdr:spPr>
        <a:xfrm flipV="1">
          <a:off x="37505692" y="13018988"/>
          <a:ext cx="1080560" cy="1069915"/>
        </a:xfrm>
        <a:prstGeom prst="trapezoid">
          <a:avLst>
            <a:gd name="adj" fmla="val 0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7</xdr:col>
      <xdr:colOff>238059</xdr:colOff>
      <xdr:row>54</xdr:row>
      <xdr:rowOff>4280</xdr:rowOff>
    </xdr:from>
    <xdr:to>
      <xdr:col>10</xdr:col>
      <xdr:colOff>428647</xdr:colOff>
      <xdr:row>60</xdr:row>
      <xdr:rowOff>3899</xdr:rowOff>
    </xdr:to>
    <xdr:sp macro="" textlink="">
      <xdr:nvSpPr>
        <xdr:cNvPr id="305" name="Trapezoid 30">
          <a:extLst>
            <a:ext uri="{FF2B5EF4-FFF2-40B4-BE49-F238E27FC236}">
              <a16:creationId xmlns:a16="http://schemas.microsoft.com/office/drawing/2014/main" id="{4143EC4B-9B08-4F11-84EB-645AF0B918D9}"/>
            </a:ext>
          </a:extLst>
        </xdr:cNvPr>
        <xdr:cNvSpPr/>
      </xdr:nvSpPr>
      <xdr:spPr>
        <a:xfrm flipV="1">
          <a:off x="8239059" y="10008814"/>
          <a:ext cx="2883864" cy="1103206"/>
        </a:xfrm>
        <a:prstGeom prst="trapezoid">
          <a:avLst>
            <a:gd name="adj" fmla="val 49724"/>
          </a:avLst>
        </a:prstGeom>
        <a:solidFill>
          <a:srgbClr val="F8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7</xdr:col>
      <xdr:colOff>778552</xdr:colOff>
      <xdr:row>60</xdr:row>
      <xdr:rowOff>22773</xdr:rowOff>
    </xdr:from>
    <xdr:to>
      <xdr:col>9</xdr:col>
      <xdr:colOff>908875</xdr:colOff>
      <xdr:row>66</xdr:row>
      <xdr:rowOff>16923</xdr:rowOff>
    </xdr:to>
    <xdr:sp macro="" textlink="">
      <xdr:nvSpPr>
        <xdr:cNvPr id="126" name="Trapezoid 31">
          <a:extLst>
            <a:ext uri="{FF2B5EF4-FFF2-40B4-BE49-F238E27FC236}">
              <a16:creationId xmlns:a16="http://schemas.microsoft.com/office/drawing/2014/main" id="{C88BB830-DB03-4763-82B0-B7D0BEE30E2E}"/>
            </a:ext>
          </a:extLst>
        </xdr:cNvPr>
        <xdr:cNvSpPr/>
      </xdr:nvSpPr>
      <xdr:spPr>
        <a:xfrm flipV="1">
          <a:off x="8779552" y="11130894"/>
          <a:ext cx="1805409" cy="1097736"/>
        </a:xfrm>
        <a:prstGeom prst="trapezoid">
          <a:avLst>
            <a:gd name="adj" fmla="val 81258"/>
          </a:avLst>
        </a:prstGeom>
        <a:solidFill>
          <a:srgbClr val="FFD8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8</xdr:col>
      <xdr:colOff>661604</xdr:colOff>
      <xdr:row>66</xdr:row>
      <xdr:rowOff>31538</xdr:rowOff>
    </xdr:from>
    <xdr:to>
      <xdr:col>9</xdr:col>
      <xdr:colOff>25251</xdr:colOff>
      <xdr:row>72</xdr:row>
      <xdr:rowOff>25688</xdr:rowOff>
    </xdr:to>
    <xdr:sp macro="" textlink="">
      <xdr:nvSpPr>
        <xdr:cNvPr id="134" name="Trapezoid 32">
          <a:extLst>
            <a:ext uri="{FF2B5EF4-FFF2-40B4-BE49-F238E27FC236}">
              <a16:creationId xmlns:a16="http://schemas.microsoft.com/office/drawing/2014/main" id="{E66EFAFD-F780-4B21-8BF2-BB67B502D3DE}"/>
            </a:ext>
          </a:extLst>
        </xdr:cNvPr>
        <xdr:cNvSpPr/>
      </xdr:nvSpPr>
      <xdr:spPr>
        <a:xfrm flipV="1">
          <a:off x="9661087" y="12243245"/>
          <a:ext cx="40250" cy="1097736"/>
        </a:xfrm>
        <a:prstGeom prst="trapezoid">
          <a:avLst>
            <a:gd name="adj" fmla="val 50674"/>
          </a:avLst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8</xdr:col>
      <xdr:colOff>669603</xdr:colOff>
      <xdr:row>72</xdr:row>
      <xdr:rowOff>26398</xdr:rowOff>
    </xdr:from>
    <xdr:to>
      <xdr:col>9</xdr:col>
      <xdr:colOff>33250</xdr:colOff>
      <xdr:row>78</xdr:row>
      <xdr:rowOff>20548</xdr:rowOff>
    </xdr:to>
    <xdr:sp macro="" textlink="">
      <xdr:nvSpPr>
        <xdr:cNvPr id="144" name="Trapezoid 33">
          <a:extLst>
            <a:ext uri="{FF2B5EF4-FFF2-40B4-BE49-F238E27FC236}">
              <a16:creationId xmlns:a16="http://schemas.microsoft.com/office/drawing/2014/main" id="{2AC1B03D-B087-427A-86FC-071F55A2AA35}"/>
            </a:ext>
          </a:extLst>
        </xdr:cNvPr>
        <xdr:cNvSpPr/>
      </xdr:nvSpPr>
      <xdr:spPr>
        <a:xfrm flipV="1">
          <a:off x="9669086" y="13341691"/>
          <a:ext cx="40250" cy="1097736"/>
        </a:xfrm>
        <a:prstGeom prst="trapezoid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12</xdr:col>
      <xdr:colOff>907726</xdr:colOff>
      <xdr:row>54</xdr:row>
      <xdr:rowOff>6928</xdr:rowOff>
    </xdr:from>
    <xdr:to>
      <xdr:col>17</xdr:col>
      <xdr:colOff>141375</xdr:colOff>
      <xdr:row>60</xdr:row>
      <xdr:rowOff>6547</xdr:rowOff>
    </xdr:to>
    <xdr:sp macro="" textlink="">
      <xdr:nvSpPr>
        <xdr:cNvPr id="327" name="Trapezoid 30">
          <a:extLst>
            <a:ext uri="{FF2B5EF4-FFF2-40B4-BE49-F238E27FC236}">
              <a16:creationId xmlns:a16="http://schemas.microsoft.com/office/drawing/2014/main" id="{59C3A87F-CE07-4252-AB73-C7C95340C28A}"/>
            </a:ext>
          </a:extLst>
        </xdr:cNvPr>
        <xdr:cNvSpPr/>
      </xdr:nvSpPr>
      <xdr:spPr>
        <a:xfrm flipV="1">
          <a:off x="13379873" y="9812075"/>
          <a:ext cx="4321120" cy="1075384"/>
        </a:xfrm>
        <a:prstGeom prst="trapezoid">
          <a:avLst>
            <a:gd name="adj" fmla="val 101785"/>
          </a:avLst>
        </a:prstGeom>
        <a:solidFill>
          <a:srgbClr val="F8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13</xdr:col>
      <xdr:colOff>870188</xdr:colOff>
      <xdr:row>60</xdr:row>
      <xdr:rowOff>4729</xdr:rowOff>
    </xdr:from>
    <xdr:to>
      <xdr:col>15</xdr:col>
      <xdr:colOff>776124</xdr:colOff>
      <xdr:row>66</xdr:row>
      <xdr:rowOff>559</xdr:rowOff>
    </xdr:to>
    <xdr:sp macro="" textlink="">
      <xdr:nvSpPr>
        <xdr:cNvPr id="490" name="Trapezoid 31">
          <a:extLst>
            <a:ext uri="{FF2B5EF4-FFF2-40B4-BE49-F238E27FC236}">
              <a16:creationId xmlns:a16="http://schemas.microsoft.com/office/drawing/2014/main" id="{1B544F4F-7A98-4183-B778-A25484A52C40}"/>
            </a:ext>
          </a:extLst>
        </xdr:cNvPr>
        <xdr:cNvSpPr/>
      </xdr:nvSpPr>
      <xdr:spPr>
        <a:xfrm flipV="1">
          <a:off x="14490938" y="10968004"/>
          <a:ext cx="2153836" cy="1081680"/>
        </a:xfrm>
        <a:prstGeom prst="trapezoid">
          <a:avLst>
            <a:gd name="adj" fmla="val 66264"/>
          </a:avLst>
        </a:prstGeom>
        <a:solidFill>
          <a:srgbClr val="FFD8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14</xdr:col>
      <xdr:colOff>182707</xdr:colOff>
      <xdr:row>65</xdr:row>
      <xdr:rowOff>177814</xdr:rowOff>
    </xdr:from>
    <xdr:to>
      <xdr:col>15</xdr:col>
      <xdr:colOff>49378</xdr:colOff>
      <xdr:row>71</xdr:row>
      <xdr:rowOff>171965</xdr:rowOff>
    </xdr:to>
    <xdr:sp macro="" textlink="">
      <xdr:nvSpPr>
        <xdr:cNvPr id="330" name="Trapezoid 32">
          <a:extLst>
            <a:ext uri="{FF2B5EF4-FFF2-40B4-BE49-F238E27FC236}">
              <a16:creationId xmlns:a16="http://schemas.microsoft.com/office/drawing/2014/main" id="{95BF10BE-30C3-43A8-A6C2-D7E890E5BB57}"/>
            </a:ext>
          </a:extLst>
        </xdr:cNvPr>
        <xdr:cNvSpPr/>
      </xdr:nvSpPr>
      <xdr:spPr>
        <a:xfrm flipV="1">
          <a:off x="15187383" y="11955196"/>
          <a:ext cx="718319" cy="1069916"/>
        </a:xfrm>
        <a:prstGeom prst="trapezoid">
          <a:avLst>
            <a:gd name="adj" fmla="val 23542"/>
          </a:avLst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14</xdr:col>
      <xdr:colOff>356400</xdr:colOff>
      <xdr:row>71</xdr:row>
      <xdr:rowOff>172771</xdr:rowOff>
    </xdr:from>
    <xdr:to>
      <xdr:col>14</xdr:col>
      <xdr:colOff>714719</xdr:colOff>
      <xdr:row>77</xdr:row>
      <xdr:rowOff>166921</xdr:rowOff>
    </xdr:to>
    <xdr:sp macro="" textlink="">
      <xdr:nvSpPr>
        <xdr:cNvPr id="332" name="Trapezoid 33">
          <a:extLst>
            <a:ext uri="{FF2B5EF4-FFF2-40B4-BE49-F238E27FC236}">
              <a16:creationId xmlns:a16="http://schemas.microsoft.com/office/drawing/2014/main" id="{ED187847-266E-4748-AD0B-5BBFDA042620}"/>
            </a:ext>
          </a:extLst>
        </xdr:cNvPr>
        <xdr:cNvSpPr/>
      </xdr:nvSpPr>
      <xdr:spPr>
        <a:xfrm flipV="1">
          <a:off x="15361076" y="13025918"/>
          <a:ext cx="358319" cy="1069915"/>
        </a:xfrm>
        <a:prstGeom prst="trapezoid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6</xdr:col>
      <xdr:colOff>1191348</xdr:colOff>
      <xdr:row>54</xdr:row>
      <xdr:rowOff>2799</xdr:rowOff>
    </xdr:from>
    <xdr:to>
      <xdr:col>10</xdr:col>
      <xdr:colOff>757230</xdr:colOff>
      <xdr:row>59</xdr:row>
      <xdr:rowOff>176243</xdr:rowOff>
    </xdr:to>
    <xdr:sp macro="" textlink="">
      <xdr:nvSpPr>
        <xdr:cNvPr id="310" name="Trapezoid 30">
          <a:extLst>
            <a:ext uri="{FF2B5EF4-FFF2-40B4-BE49-F238E27FC236}">
              <a16:creationId xmlns:a16="http://schemas.microsoft.com/office/drawing/2014/main" id="{5E43E8C5-0874-47AE-A72C-B85BDF96C250}"/>
            </a:ext>
          </a:extLst>
        </xdr:cNvPr>
        <xdr:cNvSpPr/>
      </xdr:nvSpPr>
      <xdr:spPr>
        <a:xfrm flipV="1">
          <a:off x="7852279" y="10007333"/>
          <a:ext cx="3599227" cy="1093100"/>
        </a:xfrm>
        <a:prstGeom prst="trapezoid">
          <a:avLst>
            <a:gd name="adj" fmla="val 118361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8</xdr:col>
      <xdr:colOff>142476</xdr:colOff>
      <xdr:row>59</xdr:row>
      <xdr:rowOff>180251</xdr:rowOff>
    </xdr:from>
    <xdr:to>
      <xdr:col>9</xdr:col>
      <xdr:colOff>550123</xdr:colOff>
      <xdr:row>65</xdr:row>
      <xdr:rowOff>161213</xdr:rowOff>
    </xdr:to>
    <xdr:sp macro="" textlink="">
      <xdr:nvSpPr>
        <xdr:cNvPr id="311" name="Trapezoid 30">
          <a:extLst>
            <a:ext uri="{FF2B5EF4-FFF2-40B4-BE49-F238E27FC236}">
              <a16:creationId xmlns:a16="http://schemas.microsoft.com/office/drawing/2014/main" id="{60DFBCC3-A5DC-4ACE-AF94-2B0FD622FC1D}"/>
            </a:ext>
          </a:extLst>
        </xdr:cNvPr>
        <xdr:cNvSpPr/>
      </xdr:nvSpPr>
      <xdr:spPr>
        <a:xfrm flipV="1">
          <a:off x="9141959" y="11104441"/>
          <a:ext cx="1084250" cy="1084548"/>
        </a:xfrm>
        <a:prstGeom prst="trapezoid">
          <a:avLst>
            <a:gd name="adj" fmla="val 33642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8</xdr:col>
      <xdr:colOff>507230</xdr:colOff>
      <xdr:row>66</xdr:row>
      <xdr:rowOff>14003</xdr:rowOff>
    </xdr:from>
    <xdr:to>
      <xdr:col>9</xdr:col>
      <xdr:colOff>194877</xdr:colOff>
      <xdr:row>72</xdr:row>
      <xdr:rowOff>8153</xdr:rowOff>
    </xdr:to>
    <xdr:sp macro="" textlink="">
      <xdr:nvSpPr>
        <xdr:cNvPr id="312" name="Trapezoid 30">
          <a:extLst>
            <a:ext uri="{FF2B5EF4-FFF2-40B4-BE49-F238E27FC236}">
              <a16:creationId xmlns:a16="http://schemas.microsoft.com/office/drawing/2014/main" id="{4F294A19-A0CA-43CA-8114-5B0D012EE675}"/>
            </a:ext>
          </a:extLst>
        </xdr:cNvPr>
        <xdr:cNvSpPr/>
      </xdr:nvSpPr>
      <xdr:spPr>
        <a:xfrm flipV="1">
          <a:off x="9494348" y="11970679"/>
          <a:ext cx="360000" cy="1069915"/>
        </a:xfrm>
        <a:prstGeom prst="trapezoid">
          <a:avLst>
            <a:gd name="adj" fmla="val 0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8</xdr:col>
      <xdr:colOff>499386</xdr:colOff>
      <xdr:row>72</xdr:row>
      <xdr:rowOff>26888</xdr:rowOff>
    </xdr:from>
    <xdr:to>
      <xdr:col>9</xdr:col>
      <xdr:colOff>187033</xdr:colOff>
      <xdr:row>78</xdr:row>
      <xdr:rowOff>21038</xdr:rowOff>
    </xdr:to>
    <xdr:sp macro="" textlink="">
      <xdr:nvSpPr>
        <xdr:cNvPr id="313" name="Trapezoid 30">
          <a:extLst>
            <a:ext uri="{FF2B5EF4-FFF2-40B4-BE49-F238E27FC236}">
              <a16:creationId xmlns:a16="http://schemas.microsoft.com/office/drawing/2014/main" id="{1175A2FF-1646-404D-8A2D-A48880A3EC02}"/>
            </a:ext>
          </a:extLst>
        </xdr:cNvPr>
        <xdr:cNvSpPr/>
      </xdr:nvSpPr>
      <xdr:spPr>
        <a:xfrm flipV="1">
          <a:off x="9486504" y="13059329"/>
          <a:ext cx="360000" cy="1069915"/>
        </a:xfrm>
        <a:prstGeom prst="trapezoid">
          <a:avLst>
            <a:gd name="adj" fmla="val 0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11</xdr:col>
      <xdr:colOff>102213</xdr:colOff>
      <xdr:row>54</xdr:row>
      <xdr:rowOff>10682</xdr:rowOff>
    </xdr:from>
    <xdr:to>
      <xdr:col>19</xdr:col>
      <xdr:colOff>101334</xdr:colOff>
      <xdr:row>60</xdr:row>
      <xdr:rowOff>195</xdr:rowOff>
    </xdr:to>
    <xdr:sp macro="" textlink="">
      <xdr:nvSpPr>
        <xdr:cNvPr id="469" name="Trapezoid 30">
          <a:extLst>
            <a:ext uri="{FF2B5EF4-FFF2-40B4-BE49-F238E27FC236}">
              <a16:creationId xmlns:a16="http://schemas.microsoft.com/office/drawing/2014/main" id="{155150A0-A4F7-46A4-B243-1708B9A81922}"/>
            </a:ext>
          </a:extLst>
        </xdr:cNvPr>
        <xdr:cNvSpPr/>
      </xdr:nvSpPr>
      <xdr:spPr>
        <a:xfrm flipV="1">
          <a:off x="11798913" y="9888107"/>
          <a:ext cx="7561971" cy="1075363"/>
        </a:xfrm>
        <a:prstGeom prst="trapezoid">
          <a:avLst>
            <a:gd name="adj" fmla="val 248566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13</xdr:col>
      <xdr:colOff>857431</xdr:colOff>
      <xdr:row>60</xdr:row>
      <xdr:rowOff>4203</xdr:rowOff>
    </xdr:from>
    <xdr:to>
      <xdr:col>15</xdr:col>
      <xdr:colOff>769531</xdr:colOff>
      <xdr:row>65</xdr:row>
      <xdr:rowOff>169096</xdr:rowOff>
    </xdr:to>
    <xdr:sp macro="" textlink="">
      <xdr:nvSpPr>
        <xdr:cNvPr id="491" name="Trapezoid 30">
          <a:extLst>
            <a:ext uri="{FF2B5EF4-FFF2-40B4-BE49-F238E27FC236}">
              <a16:creationId xmlns:a16="http://schemas.microsoft.com/office/drawing/2014/main" id="{39A6FDB1-C89A-4302-9861-AC5DBC63FCE3}"/>
            </a:ext>
          </a:extLst>
        </xdr:cNvPr>
        <xdr:cNvSpPr/>
      </xdr:nvSpPr>
      <xdr:spPr>
        <a:xfrm flipV="1">
          <a:off x="14478181" y="10967478"/>
          <a:ext cx="2160000" cy="1069768"/>
        </a:xfrm>
        <a:prstGeom prst="trapezoid">
          <a:avLst>
            <a:gd name="adj" fmla="val 49669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13</xdr:col>
      <xdr:colOff>1384111</xdr:colOff>
      <xdr:row>66</xdr:row>
      <xdr:rowOff>2836</xdr:rowOff>
    </xdr:from>
    <xdr:to>
      <xdr:col>15</xdr:col>
      <xdr:colOff>216211</xdr:colOff>
      <xdr:row>71</xdr:row>
      <xdr:rowOff>177961</xdr:rowOff>
    </xdr:to>
    <xdr:sp macro="" textlink="">
      <xdr:nvSpPr>
        <xdr:cNvPr id="489" name="Trapezoid 30">
          <a:extLst>
            <a:ext uri="{FF2B5EF4-FFF2-40B4-BE49-F238E27FC236}">
              <a16:creationId xmlns:a16="http://schemas.microsoft.com/office/drawing/2014/main" id="{4499C6E5-6E96-4413-9F32-089246893B1A}"/>
            </a:ext>
          </a:extLst>
        </xdr:cNvPr>
        <xdr:cNvSpPr/>
      </xdr:nvSpPr>
      <xdr:spPr>
        <a:xfrm flipV="1">
          <a:off x="15004861" y="12051961"/>
          <a:ext cx="1080000" cy="1080000"/>
        </a:xfrm>
        <a:prstGeom prst="trapezoid">
          <a:avLst>
            <a:gd name="adj" fmla="val 31750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14</xdr:col>
      <xdr:colOff>355412</xdr:colOff>
      <xdr:row>71</xdr:row>
      <xdr:rowOff>169241</xdr:rowOff>
    </xdr:from>
    <xdr:to>
      <xdr:col>14</xdr:col>
      <xdr:colOff>715024</xdr:colOff>
      <xdr:row>77</xdr:row>
      <xdr:rowOff>163391</xdr:rowOff>
    </xdr:to>
    <xdr:sp macro="" textlink="">
      <xdr:nvSpPr>
        <xdr:cNvPr id="333" name="Trapezoid 30">
          <a:extLst>
            <a:ext uri="{FF2B5EF4-FFF2-40B4-BE49-F238E27FC236}">
              <a16:creationId xmlns:a16="http://schemas.microsoft.com/office/drawing/2014/main" id="{7264D4CA-AFE6-4EC8-B73D-BD7943912E5B}"/>
            </a:ext>
          </a:extLst>
        </xdr:cNvPr>
        <xdr:cNvSpPr/>
      </xdr:nvSpPr>
      <xdr:spPr>
        <a:xfrm flipV="1">
          <a:off x="15360088" y="13022388"/>
          <a:ext cx="359612" cy="1069915"/>
        </a:xfrm>
        <a:prstGeom prst="trapezoid">
          <a:avLst>
            <a:gd name="adj" fmla="val 0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22</xdr:col>
      <xdr:colOff>649931</xdr:colOff>
      <xdr:row>54</xdr:row>
      <xdr:rowOff>11209</xdr:rowOff>
    </xdr:from>
    <xdr:to>
      <xdr:col>31</xdr:col>
      <xdr:colOff>181186</xdr:colOff>
      <xdr:row>60</xdr:row>
      <xdr:rowOff>10828</xdr:rowOff>
    </xdr:to>
    <xdr:sp macro="" textlink="">
      <xdr:nvSpPr>
        <xdr:cNvPr id="421" name="Trapezoid 30">
          <a:extLst>
            <a:ext uri="{FF2B5EF4-FFF2-40B4-BE49-F238E27FC236}">
              <a16:creationId xmlns:a16="http://schemas.microsoft.com/office/drawing/2014/main" id="{D46FBED4-8D80-4BC0-86CE-E9A88D710C32}"/>
            </a:ext>
          </a:extLst>
        </xdr:cNvPr>
        <xdr:cNvSpPr/>
      </xdr:nvSpPr>
      <xdr:spPr>
        <a:xfrm flipV="1">
          <a:off x="22467784" y="9816356"/>
          <a:ext cx="7196078" cy="1075384"/>
        </a:xfrm>
        <a:prstGeom prst="trapezoid">
          <a:avLst>
            <a:gd name="adj" fmla="val 164088"/>
          </a:avLst>
        </a:prstGeom>
        <a:solidFill>
          <a:srgbClr val="F8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24</xdr:col>
      <xdr:colOff>747985</xdr:colOff>
      <xdr:row>60</xdr:row>
      <xdr:rowOff>19656</xdr:rowOff>
    </xdr:from>
    <xdr:to>
      <xdr:col>29</xdr:col>
      <xdr:colOff>85828</xdr:colOff>
      <xdr:row>66</xdr:row>
      <xdr:rowOff>13806</xdr:rowOff>
    </xdr:to>
    <xdr:sp macro="" textlink="">
      <xdr:nvSpPr>
        <xdr:cNvPr id="424" name="Trapezoid 31">
          <a:extLst>
            <a:ext uri="{FF2B5EF4-FFF2-40B4-BE49-F238E27FC236}">
              <a16:creationId xmlns:a16="http://schemas.microsoft.com/office/drawing/2014/main" id="{004FF076-5478-4471-87A5-7FC8BAD9B0BB}"/>
            </a:ext>
          </a:extLst>
        </xdr:cNvPr>
        <xdr:cNvSpPr/>
      </xdr:nvSpPr>
      <xdr:spPr>
        <a:xfrm flipV="1">
          <a:off x="24269132" y="10900568"/>
          <a:ext cx="3596078" cy="1069914"/>
        </a:xfrm>
        <a:prstGeom prst="trapezoid">
          <a:avLst>
            <a:gd name="adj" fmla="val 81258"/>
          </a:avLst>
        </a:prstGeom>
        <a:solidFill>
          <a:srgbClr val="FFD8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25</xdr:col>
      <xdr:colOff>794489</xdr:colOff>
      <xdr:row>66</xdr:row>
      <xdr:rowOff>10646</xdr:rowOff>
    </xdr:from>
    <xdr:to>
      <xdr:col>28</xdr:col>
      <xdr:colOff>40108</xdr:colOff>
      <xdr:row>72</xdr:row>
      <xdr:rowOff>4796</xdr:rowOff>
    </xdr:to>
    <xdr:sp macro="" textlink="">
      <xdr:nvSpPr>
        <xdr:cNvPr id="425" name="Trapezoid 32">
          <a:extLst>
            <a:ext uri="{FF2B5EF4-FFF2-40B4-BE49-F238E27FC236}">
              <a16:creationId xmlns:a16="http://schemas.microsoft.com/office/drawing/2014/main" id="{55043FC7-E55D-4424-BB83-DA155FAFE146}"/>
            </a:ext>
          </a:extLst>
        </xdr:cNvPr>
        <xdr:cNvSpPr/>
      </xdr:nvSpPr>
      <xdr:spPr>
        <a:xfrm flipV="1">
          <a:off x="25167283" y="11967322"/>
          <a:ext cx="1800560" cy="1069915"/>
        </a:xfrm>
        <a:prstGeom prst="trapezoid">
          <a:avLst>
            <a:gd name="adj" fmla="val 50674"/>
          </a:avLst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26</xdr:col>
      <xdr:colOff>484087</xdr:colOff>
      <xdr:row>71</xdr:row>
      <xdr:rowOff>170889</xdr:rowOff>
    </xdr:from>
    <xdr:to>
      <xdr:col>27</xdr:col>
      <xdr:colOff>353000</xdr:colOff>
      <xdr:row>77</xdr:row>
      <xdr:rowOff>165039</xdr:rowOff>
    </xdr:to>
    <xdr:sp macro="" textlink="">
      <xdr:nvSpPr>
        <xdr:cNvPr id="427" name="Trapezoid 33">
          <a:extLst>
            <a:ext uri="{FF2B5EF4-FFF2-40B4-BE49-F238E27FC236}">
              <a16:creationId xmlns:a16="http://schemas.microsoft.com/office/drawing/2014/main" id="{F3E058B1-9AA8-4F22-8ACE-5C70C36A9908}"/>
            </a:ext>
          </a:extLst>
        </xdr:cNvPr>
        <xdr:cNvSpPr/>
      </xdr:nvSpPr>
      <xdr:spPr>
        <a:xfrm flipV="1">
          <a:off x="25708528" y="13024036"/>
          <a:ext cx="720560" cy="1069915"/>
        </a:xfrm>
        <a:prstGeom prst="trapezoid">
          <a:avLst>
            <a:gd name="adj" fmla="val 0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20</xdr:col>
      <xdr:colOff>369795</xdr:colOff>
      <xdr:row>54</xdr:row>
      <xdr:rowOff>11206</xdr:rowOff>
    </xdr:from>
    <xdr:to>
      <xdr:col>33</xdr:col>
      <xdr:colOff>451660</xdr:colOff>
      <xdr:row>60</xdr:row>
      <xdr:rowOff>5356</xdr:rowOff>
    </xdr:to>
    <xdr:sp macro="" textlink="">
      <xdr:nvSpPr>
        <xdr:cNvPr id="422" name="Trapezoid 30">
          <a:extLst>
            <a:ext uri="{FF2B5EF4-FFF2-40B4-BE49-F238E27FC236}">
              <a16:creationId xmlns:a16="http://schemas.microsoft.com/office/drawing/2014/main" id="{A0E48381-33E8-4119-A60B-961569505647}"/>
            </a:ext>
          </a:extLst>
        </xdr:cNvPr>
        <xdr:cNvSpPr/>
      </xdr:nvSpPr>
      <xdr:spPr>
        <a:xfrm flipV="1">
          <a:off x="20484354" y="9816353"/>
          <a:ext cx="11153277" cy="1069915"/>
        </a:xfrm>
        <a:prstGeom prst="trapezoid">
          <a:avLst>
            <a:gd name="adj" fmla="val 367986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25</xdr:col>
      <xdr:colOff>94131</xdr:colOff>
      <xdr:row>60</xdr:row>
      <xdr:rowOff>23661</xdr:rowOff>
    </xdr:from>
    <xdr:to>
      <xdr:col>28</xdr:col>
      <xdr:colOff>773026</xdr:colOff>
      <xdr:row>66</xdr:row>
      <xdr:rowOff>4623</xdr:rowOff>
    </xdr:to>
    <xdr:sp macro="" textlink="">
      <xdr:nvSpPr>
        <xdr:cNvPr id="423" name="Trapezoid 30">
          <a:extLst>
            <a:ext uri="{FF2B5EF4-FFF2-40B4-BE49-F238E27FC236}">
              <a16:creationId xmlns:a16="http://schemas.microsoft.com/office/drawing/2014/main" id="{F793A317-EA9E-469B-A110-A87560E01813}"/>
            </a:ext>
          </a:extLst>
        </xdr:cNvPr>
        <xdr:cNvSpPr/>
      </xdr:nvSpPr>
      <xdr:spPr>
        <a:xfrm flipV="1">
          <a:off x="24466925" y="10904573"/>
          <a:ext cx="3233836" cy="1056726"/>
        </a:xfrm>
        <a:prstGeom prst="trapezoid">
          <a:avLst>
            <a:gd name="adj" fmla="val 83118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26</xdr:col>
      <xdr:colOff>133913</xdr:colOff>
      <xdr:row>66</xdr:row>
      <xdr:rowOff>11204</xdr:rowOff>
    </xdr:from>
    <xdr:to>
      <xdr:col>27</xdr:col>
      <xdr:colOff>722826</xdr:colOff>
      <xdr:row>72</xdr:row>
      <xdr:rowOff>5354</xdr:rowOff>
    </xdr:to>
    <xdr:sp macro="" textlink="">
      <xdr:nvSpPr>
        <xdr:cNvPr id="426" name="Trapezoid 30">
          <a:extLst>
            <a:ext uri="{FF2B5EF4-FFF2-40B4-BE49-F238E27FC236}">
              <a16:creationId xmlns:a16="http://schemas.microsoft.com/office/drawing/2014/main" id="{0B11E6BA-18B8-4A7D-99B5-26ADE2A01EB0}"/>
            </a:ext>
          </a:extLst>
        </xdr:cNvPr>
        <xdr:cNvSpPr/>
      </xdr:nvSpPr>
      <xdr:spPr>
        <a:xfrm flipV="1">
          <a:off x="25358354" y="11967880"/>
          <a:ext cx="1440560" cy="1069915"/>
        </a:xfrm>
        <a:prstGeom prst="trapezoid">
          <a:avLst>
            <a:gd name="adj" fmla="val 14327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  <xdr:twoCellAnchor>
    <xdr:from>
      <xdr:col>26</xdr:col>
      <xdr:colOff>305364</xdr:colOff>
      <xdr:row>72</xdr:row>
      <xdr:rowOff>1677</xdr:rowOff>
    </xdr:from>
    <xdr:to>
      <xdr:col>27</xdr:col>
      <xdr:colOff>534277</xdr:colOff>
      <xdr:row>77</xdr:row>
      <xdr:rowOff>175121</xdr:rowOff>
    </xdr:to>
    <xdr:sp macro="" textlink="">
      <xdr:nvSpPr>
        <xdr:cNvPr id="428" name="Trapezoid 30">
          <a:extLst>
            <a:ext uri="{FF2B5EF4-FFF2-40B4-BE49-F238E27FC236}">
              <a16:creationId xmlns:a16="http://schemas.microsoft.com/office/drawing/2014/main" id="{5F636584-8810-40FC-91D0-DD24666EA153}"/>
            </a:ext>
          </a:extLst>
        </xdr:cNvPr>
        <xdr:cNvSpPr/>
      </xdr:nvSpPr>
      <xdr:spPr>
        <a:xfrm flipV="1">
          <a:off x="25529805" y="13034118"/>
          <a:ext cx="1080560" cy="1069915"/>
        </a:xfrm>
        <a:prstGeom prst="trapezoid">
          <a:avLst>
            <a:gd name="adj" fmla="val 0"/>
          </a:avLst>
        </a:prstGeom>
        <a:noFill/>
        <a:ln w="2540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144000" tIns="108000" rIns="144000" bIns="144000" rtlCol="0" anchor="t"/>
        <a:lstStyle/>
        <a:p>
          <a:pPr algn="l">
            <a:spcAft>
              <a:spcPts val="800"/>
            </a:spcAft>
          </a:pPr>
          <a:endParaRPr lang="de-DE" sz="1600" kern="1200" dirty="0" err="1"/>
        </a:p>
      </xdr:txBody>
    </xdr:sp>
    <xdr:clientData/>
  </xdr:twoCellAnchor>
</xdr:wsDr>
</file>

<file path=xl/theme/theme1.xml><?xml version="1.0" encoding="utf-8"?>
<a:theme xmlns:a="http://schemas.openxmlformats.org/drawingml/2006/main" name="IAV">
  <a:themeElements>
    <a:clrScheme name="IAV">
      <a:dk1>
        <a:srgbClr val="000000"/>
      </a:dk1>
      <a:lt1>
        <a:srgbClr val="FFFFFF"/>
      </a:lt1>
      <a:dk2>
        <a:srgbClr val="041E96"/>
      </a:dk2>
      <a:lt2>
        <a:srgbClr val="FFFFFF"/>
      </a:lt2>
      <a:accent1>
        <a:srgbClr val="52C9FF"/>
      </a:accent1>
      <a:accent2>
        <a:srgbClr val="0091FF"/>
      </a:accent2>
      <a:accent3>
        <a:srgbClr val="1446EB"/>
      </a:accent3>
      <a:accent4>
        <a:srgbClr val="5500B4"/>
      </a:accent4>
      <a:accent5>
        <a:srgbClr val="A200E6"/>
      </a:accent5>
      <a:accent6>
        <a:srgbClr val="DC46F3"/>
      </a:accent6>
      <a:hlink>
        <a:srgbClr val="0091FF"/>
      </a:hlink>
      <a:folHlink>
        <a:srgbClr val="0091FF"/>
      </a:folHlink>
    </a:clrScheme>
    <a:fontScheme name="IAV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tx2"/>
        </a:solidFill>
        <a:ln>
          <a:noFill/>
        </a:ln>
      </a:spPr>
      <a:bodyPr lIns="144000" tIns="108000" rIns="144000" bIns="144000" rtlCol="0" anchor="t"/>
      <a:lstStyle>
        <a:defPPr algn="l">
          <a:spcAft>
            <a:spcPts val="800"/>
          </a:spcAft>
          <a:defRPr sz="1600" dirty="0" err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176213" indent="-176213" algn="l">
          <a:lnSpc>
            <a:spcPct val="120000"/>
          </a:lnSpc>
          <a:spcAft>
            <a:spcPts val="800"/>
          </a:spcAft>
          <a:buFont typeface="Arial" panose="020B0604020202020204" pitchFamily="34" charset="0"/>
          <a:buChar char="•"/>
          <a:defRPr sz="1600" dirty="0" smtClean="0"/>
        </a:defPPr>
      </a:lstStyle>
    </a:txDef>
  </a:objectDefaults>
  <a:extraClrSchemeLst/>
  <a:custClrLst>
    <a:custClr name="B0">
      <a:srgbClr val="001A54"/>
    </a:custClr>
    <a:custClr name="B1">
      <a:srgbClr val="041E96"/>
    </a:custClr>
    <a:custClr name="B2">
      <a:srgbClr val="1446EB"/>
    </a:custClr>
    <a:custClr name="B3">
      <a:srgbClr val="0091FF"/>
    </a:custClr>
    <a:custClr name="B4">
      <a:srgbClr val="52C9FF"/>
    </a:custClr>
    <a:custClr name="B5">
      <a:srgbClr val="96E7FF"/>
    </a:custClr>
    <a:custClr name="B6">
      <a:srgbClr val="D2F5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M1">
      <a:srgbClr val="5500B4"/>
    </a:custClr>
    <a:custClr name="M2">
      <a:srgbClr val="A200E6"/>
    </a:custClr>
    <a:custClr name="M3">
      <a:srgbClr val="DC46F3"/>
    </a:custClr>
    <a:custClr name="M4">
      <a:srgbClr val="FF73FA"/>
    </a:custClr>
    <a:custClr name="M5">
      <a:srgbClr val="FFAFFF"/>
    </a:custClr>
    <a:custClr name="M6">
      <a:srgbClr val="FDDE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Grau (inaktive Inhalte)">
      <a:srgbClr val="CCCCCC"/>
    </a:custClr>
    <a:custClr name="Ampelrot">
      <a:srgbClr val="F80000"/>
    </a:custClr>
    <a:custClr name="Ampelgelb">
      <a:srgbClr val="FFD800"/>
    </a:custClr>
    <a:custClr name="Ampelgrün">
      <a:srgbClr val="80D800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  <a:custClr name="r:255 g:255 b:255">
      <a:srgbClr val="FFFFFF"/>
    </a:custClr>
  </a:custClrLst>
  <a:extLst>
    <a:ext uri="{05A4C25C-085E-4340-85A3-A5531E510DB2}">
      <thm15:themeFamily xmlns:thm15="http://schemas.microsoft.com/office/thememl/2012/main" name="IAV-PPT" id="{C2C7E29E-1BD9-4042-B929-FEFAAF9B7C10}" vid="{6102D1B4-6B7F-49DC-93EB-19A97266B95E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5"/>
  <sheetViews>
    <sheetView workbookViewId="0">
      <selection activeCell="A4" sqref="A4"/>
    </sheetView>
  </sheetViews>
  <sheetFormatPr baseColWidth="10" defaultColWidth="11" defaultRowHeight="14" x14ac:dyDescent="0.15"/>
  <cols>
    <col min="1" max="1" width="17.83203125" bestFit="1" customWidth="1"/>
    <col min="2" max="2" width="20" bestFit="1" customWidth="1"/>
    <col min="3" max="3" width="18.1640625" bestFit="1" customWidth="1"/>
  </cols>
  <sheetData>
    <row r="1" spans="1:2" x14ac:dyDescent="0.15">
      <c r="A1" s="2" t="s">
        <v>0</v>
      </c>
      <c r="B1" s="2" t="s">
        <v>1</v>
      </c>
    </row>
    <row r="2" spans="1:2" x14ac:dyDescent="0.15">
      <c r="A2" t="s">
        <v>2</v>
      </c>
      <c r="B2" t="s">
        <v>3</v>
      </c>
    </row>
    <row r="3" spans="1:2" x14ac:dyDescent="0.15">
      <c r="A3" t="s">
        <v>4</v>
      </c>
      <c r="B3" t="s">
        <v>5</v>
      </c>
    </row>
    <row r="4" spans="1:2" x14ac:dyDescent="0.15">
      <c r="A4" t="s">
        <v>6</v>
      </c>
      <c r="B4" t="s">
        <v>7</v>
      </c>
    </row>
    <row r="5" spans="1:2" x14ac:dyDescent="0.15">
      <c r="B5" t="s">
        <v>8</v>
      </c>
    </row>
  </sheetData>
  <pageMargins left="0.7" right="0.7" top="0.78740157499999996" bottom="0.78740157499999996" header="0.3" footer="0.3"/>
  <pageSetup paperSize="9" orientation="portrait"/>
  <headerFooter>
    <oddHeader>&amp;L&amp;"Arial"&amp;13 Titel über Tabellenblatt 'Dokumenteninformationen' pflegen_x000D_&amp;"Arial"&amp;11 Betreff/Projekt über Tabellenblatt "Dokumenteninformation" pflegen</oddHeader>
    <oddFooter>&amp;L&amp;"Arial"&amp;08 IAV-Basisvorlage-Excel.xltm · Version: 00.01 · Status: Entwurf, Vertraulich · 03/2014_x000D_ IAV-Basisvorlage-Excel.xltm_V1.0 · © IAV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"/>
  <sheetViews>
    <sheetView zoomScaleNormal="100" workbookViewId="0">
      <selection activeCell="F5" sqref="F5"/>
    </sheetView>
  </sheetViews>
  <sheetFormatPr baseColWidth="10" defaultColWidth="11.1640625" defaultRowHeight="14" x14ac:dyDescent="0.15"/>
  <cols>
    <col min="1" max="5" width="11.1640625" customWidth="1"/>
  </cols>
  <sheetData/>
  <pageMargins left="0.74803149606299202" right="0.47244094488189003" top="1.4173228346456701" bottom="0.78740157480314998" header="0.59448818897637801" footer="0.39370078740157499"/>
  <pageSetup paperSize="9" orientation="portrait" r:id="rId1"/>
  <headerFooter scaleWithDoc="0">
    <oddHeader>&amp;L&amp;13 Titel über Tabellenblatt 'Dokumenteninformationen' pflegen
&amp;11 Betreff/Projekt über Tabellenblatt "Dokumenteninformation" pflegen&amp;R&amp;G</oddHeader>
    <oddFooter>&amp;R&amp;8&amp;P / &amp;N&amp;L&amp;"Arial"&amp;08 IAV_Basisvorlage_minimal.xltm · Version: 0.0.1 · Status: Entwurf, Vertraulich · _x000D_ IAV-Basisvorlage_V1.7 · © IAV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pageSetUpPr fitToPage="1"/>
  </sheetPr>
  <dimension ref="A1:E43"/>
  <sheetViews>
    <sheetView showGridLines="0" topLeftCell="A10" zoomScale="95" zoomScaleNormal="100" workbookViewId="0">
      <selection activeCell="D29" sqref="D29"/>
    </sheetView>
  </sheetViews>
  <sheetFormatPr baseColWidth="10" defaultColWidth="11.1640625" defaultRowHeight="14" x14ac:dyDescent="0.15"/>
  <cols>
    <col min="1" max="1" width="20.1640625" style="3" customWidth="1"/>
    <col min="2" max="2" width="14.6640625" style="3" bestFit="1" customWidth="1"/>
    <col min="3" max="3" width="26.33203125" style="3" customWidth="1"/>
    <col min="4" max="4" width="21.1640625" style="3" customWidth="1"/>
    <col min="5" max="16384" width="11.1640625" style="3"/>
  </cols>
  <sheetData>
    <row r="1" spans="1:5" ht="17" x14ac:dyDescent="0.15">
      <c r="A1" t="s">
        <v>9</v>
      </c>
      <c r="B1" s="18" t="s">
        <v>10</v>
      </c>
    </row>
    <row r="2" spans="1:5" x14ac:dyDescent="0.15">
      <c r="A2" t="s">
        <v>11</v>
      </c>
      <c r="B2" s="19" t="s">
        <v>12</v>
      </c>
    </row>
    <row r="3" spans="1:5" x14ac:dyDescent="0.15">
      <c r="A3"/>
      <c r="B3" s="20"/>
    </row>
    <row r="4" spans="1:5" x14ac:dyDescent="0.15">
      <c r="A4" t="s">
        <v>13</v>
      </c>
      <c r="B4" s="21" t="s">
        <v>14</v>
      </c>
      <c r="C4" s="4"/>
      <c r="D4" s="4"/>
      <c r="E4" s="4"/>
    </row>
    <row r="5" spans="1:5" x14ac:dyDescent="0.15">
      <c r="A5" t="s">
        <v>15</v>
      </c>
      <c r="B5" s="21" t="s">
        <v>16</v>
      </c>
    </row>
    <row r="6" spans="1:5" x14ac:dyDescent="0.15">
      <c r="A6" t="s">
        <v>17</v>
      </c>
      <c r="B6" s="21" t="s">
        <v>2</v>
      </c>
      <c r="C6" s="4"/>
    </row>
    <row r="7" spans="1:5" x14ac:dyDescent="0.15">
      <c r="A7" t="s">
        <v>18</v>
      </c>
      <c r="B7" s="21" t="s">
        <v>7</v>
      </c>
    </row>
    <row r="8" spans="1:5" x14ac:dyDescent="0.15">
      <c r="A8"/>
      <c r="B8" s="20"/>
    </row>
    <row r="10" spans="1:5" x14ac:dyDescent="0.15">
      <c r="A10" s="5"/>
      <c r="B10" s="6" t="s">
        <v>19</v>
      </c>
      <c r="C10" s="6" t="s">
        <v>20</v>
      </c>
      <c r="D10" s="7" t="s">
        <v>21</v>
      </c>
    </row>
    <row r="11" spans="1:5" ht="28.5" customHeight="1" x14ac:dyDescent="0.15">
      <c r="A11" s="8" t="s">
        <v>22</v>
      </c>
      <c r="B11" s="70" t="s">
        <v>23</v>
      </c>
      <c r="C11" s="71" t="s">
        <v>23</v>
      </c>
      <c r="D11" s="36" t="s">
        <v>24</v>
      </c>
    </row>
    <row r="12" spans="1:5" ht="28.5" customHeight="1" x14ac:dyDescent="0.15">
      <c r="A12" s="8" t="s">
        <v>25</v>
      </c>
      <c r="B12" s="70" t="s">
        <v>23</v>
      </c>
      <c r="C12" s="71" t="s">
        <v>23</v>
      </c>
      <c r="D12" s="36"/>
    </row>
    <row r="13" spans="1:5" ht="28.5" customHeight="1" x14ac:dyDescent="0.15">
      <c r="A13" s="8" t="s">
        <v>4</v>
      </c>
      <c r="B13" s="70" t="s">
        <v>23</v>
      </c>
      <c r="C13" s="71" t="s">
        <v>23</v>
      </c>
      <c r="D13" s="36" t="s">
        <v>26</v>
      </c>
    </row>
    <row r="14" spans="1:5" x14ac:dyDescent="0.15">
      <c r="A14" s="9"/>
      <c r="B14" s="72"/>
      <c r="C14" s="73"/>
      <c r="D14" s="10"/>
    </row>
    <row r="15" spans="1:5" ht="17" x14ac:dyDescent="0.15">
      <c r="A15" s="11" t="s">
        <v>27</v>
      </c>
    </row>
    <row r="16" spans="1:5" ht="89.25" customHeight="1" x14ac:dyDescent="0.15">
      <c r="A16" s="78"/>
      <c r="B16" s="78"/>
      <c r="C16" s="78"/>
      <c r="D16" s="78"/>
    </row>
    <row r="17" spans="1:4" x14ac:dyDescent="0.15">
      <c r="A17" s="22"/>
      <c r="B17" s="22"/>
      <c r="C17" s="22"/>
      <c r="D17" s="22"/>
    </row>
    <row r="19" spans="1:4" ht="17" x14ac:dyDescent="0.15">
      <c r="A19" s="11" t="s">
        <v>28</v>
      </c>
    </row>
    <row r="20" spans="1:4" x14ac:dyDescent="0.15">
      <c r="A20" s="12" t="s">
        <v>29</v>
      </c>
      <c r="B20" s="13" t="s">
        <v>30</v>
      </c>
      <c r="C20" s="13" t="s">
        <v>31</v>
      </c>
      <c r="D20" s="39" t="s">
        <v>32</v>
      </c>
    </row>
    <row r="21" spans="1:4" x14ac:dyDescent="0.15">
      <c r="A21" s="12"/>
      <c r="B21" s="13"/>
      <c r="C21" s="13"/>
      <c r="D21" s="34"/>
    </row>
    <row r="22" spans="1:4" x14ac:dyDescent="0.15">
      <c r="A22" s="12"/>
      <c r="B22" s="13"/>
      <c r="C22" s="13"/>
      <c r="D22" s="34"/>
    </row>
    <row r="23" spans="1:4" x14ac:dyDescent="0.15">
      <c r="A23" s="12"/>
      <c r="B23" s="13"/>
      <c r="C23" s="13"/>
      <c r="D23" s="34"/>
    </row>
    <row r="24" spans="1:4" x14ac:dyDescent="0.15">
      <c r="A24" s="74"/>
      <c r="B24" s="75"/>
      <c r="C24" s="76"/>
      <c r="D24" s="77"/>
    </row>
    <row r="25" spans="1:4" x14ac:dyDescent="0.15">
      <c r="A25" s="12"/>
      <c r="B25" s="13"/>
      <c r="C25" s="13"/>
      <c r="D25" s="34"/>
    </row>
    <row r="26" spans="1:4" x14ac:dyDescent="0.15">
      <c r="A26" s="12"/>
      <c r="B26" s="13"/>
      <c r="C26" s="13"/>
      <c r="D26" s="34"/>
    </row>
    <row r="27" spans="1:4" x14ac:dyDescent="0.15">
      <c r="A27" s="37"/>
      <c r="B27" s="38"/>
      <c r="C27" s="37"/>
      <c r="D27" s="37"/>
    </row>
    <row r="28" spans="1:4" ht="17" x14ac:dyDescent="0.15">
      <c r="A28" s="11" t="s">
        <v>33</v>
      </c>
    </row>
    <row r="29" spans="1:4" x14ac:dyDescent="0.15">
      <c r="A29" s="16" t="s">
        <v>34</v>
      </c>
      <c r="B29" s="17" t="s">
        <v>19</v>
      </c>
      <c r="C29" s="17" t="s">
        <v>35</v>
      </c>
      <c r="D29" s="40" t="s">
        <v>36</v>
      </c>
    </row>
    <row r="30" spans="1:4" x14ac:dyDescent="0.15">
      <c r="A30" s="28"/>
      <c r="B30" s="29"/>
      <c r="C30" s="17"/>
      <c r="D30" s="32"/>
    </row>
    <row r="31" spans="1:4" x14ac:dyDescent="0.15">
      <c r="A31" s="28"/>
      <c r="B31" s="29"/>
      <c r="C31" s="17"/>
      <c r="D31" s="32"/>
    </row>
    <row r="32" spans="1:4" x14ac:dyDescent="0.15">
      <c r="A32" s="28"/>
      <c r="B32" s="29"/>
      <c r="C32" s="17"/>
      <c r="D32" s="32"/>
    </row>
    <row r="33" spans="1:4" x14ac:dyDescent="0.15">
      <c r="A33" s="28"/>
      <c r="B33" s="29"/>
      <c r="C33" s="17"/>
      <c r="D33" s="32"/>
    </row>
    <row r="34" spans="1:4" x14ac:dyDescent="0.15">
      <c r="A34" s="35"/>
      <c r="B34" s="30"/>
      <c r="C34" s="26"/>
      <c r="D34" s="31"/>
    </row>
    <row r="35" spans="1:4" x14ac:dyDescent="0.15">
      <c r="A35" s="28"/>
      <c r="B35" s="29"/>
      <c r="C35" s="17"/>
      <c r="D35" s="32"/>
    </row>
    <row r="36" spans="1:4" x14ac:dyDescent="0.15">
      <c r="A36" s="28"/>
      <c r="B36" s="29"/>
      <c r="C36" s="17"/>
      <c r="D36" s="32"/>
    </row>
    <row r="37" spans="1:4" x14ac:dyDescent="0.15">
      <c r="A37" s="28"/>
      <c r="B37" s="29"/>
      <c r="C37" s="17"/>
      <c r="D37" s="32"/>
    </row>
    <row r="38" spans="1:4" x14ac:dyDescent="0.15">
      <c r="A38" s="28"/>
      <c r="B38" s="29"/>
      <c r="C38" s="17"/>
      <c r="D38" s="32"/>
    </row>
    <row r="39" spans="1:4" x14ac:dyDescent="0.15">
      <c r="A39" s="25"/>
      <c r="B39" s="30"/>
      <c r="C39" s="26"/>
      <c r="D39" s="31"/>
    </row>
    <row r="40" spans="1:4" x14ac:dyDescent="0.15">
      <c r="A40" s="14"/>
      <c r="B40" s="15"/>
      <c r="C40" s="23"/>
      <c r="D40" s="33"/>
    </row>
    <row r="41" spans="1:4" x14ac:dyDescent="0.15">
      <c r="A41" s="24"/>
      <c r="B41" s="24"/>
      <c r="C41" s="24"/>
      <c r="D41" s="24"/>
    </row>
    <row r="42" spans="1:4" x14ac:dyDescent="0.15">
      <c r="A42" s="24"/>
      <c r="B42" s="24"/>
      <c r="C42" s="24"/>
      <c r="D42" s="24"/>
    </row>
    <row r="43" spans="1:4" x14ac:dyDescent="0.15">
      <c r="A43" s="27"/>
      <c r="B43" s="24"/>
      <c r="C43" s="24"/>
      <c r="D43" s="24"/>
    </row>
  </sheetData>
  <sheetProtection formatRows="0" insertRows="0" deleteRows="0" selectLockedCells="1"/>
  <protectedRanges>
    <protectedRange sqref="B1:B2 B4:B7" name="Bereich1" securityDescriptor="O:WDG:WDD:(A;;CC;;;WD)"/>
  </protectedRanges>
  <mergeCells count="1">
    <mergeCell ref="A16:D16"/>
  </mergeCells>
  <dataValidations count="3">
    <dataValidation type="list" allowBlank="1" showInputMessage="1" showErrorMessage="1" sqref="B7" xr:uid="{00000000-0002-0000-0200-000000000000}">
      <formula1>V_Security_Classification</formula1>
    </dataValidation>
    <dataValidation type="list" allowBlank="1" showInputMessage="1" showErrorMessage="1" sqref="B6" xr:uid="{00000000-0002-0000-0200-000001000000}">
      <formula1>V_Status</formula1>
    </dataValidation>
    <dataValidation type="date" allowBlank="1" showInputMessage="1" showErrorMessage="1" sqref="B30:B40" xr:uid="{00000000-0002-0000-0200-000002000000}">
      <formula1>36526</formula1>
      <formula2>401768</formula2>
    </dataValidation>
  </dataValidations>
  <pageMargins left="0.74803149606299202" right="0.47244094488189003" top="1.4173228346456701" bottom="0.78740157480314998" header="0.59448818897637801" footer="0.39370078740157499"/>
  <pageSetup paperSize="9" fitToHeight="0" orientation="portrait" r:id="rId1"/>
  <headerFooter scaleWithDoc="0">
    <oddHeader>&amp;R&amp;G&amp;L&amp;"Arial"&amp;13 Titel über Tabellenblatt 'Dokumenteninformationen' pflegen_x000D_&amp;"Arial"&amp;11 Betreff/Projekt über Tabellenblatt "Dokumenteninformation" pflegen</oddHeader>
    <oddFooter>&amp;R&amp;8&amp;P / &amp;N&amp;L&amp;"Arial"&amp;08 Sales_KPI .xlsm · Version: 0.1 · Status: Entwurf, Vertraulich · _x000D_ IAV-Basisvorlage-minimal_V2.0 · © IAV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N31"/>
  <sheetViews>
    <sheetView zoomScaleNormal="100" workbookViewId="0">
      <selection activeCell="I34" sqref="I34"/>
    </sheetView>
  </sheetViews>
  <sheetFormatPr baseColWidth="10" defaultColWidth="11.1640625" defaultRowHeight="14" x14ac:dyDescent="0.15"/>
  <cols>
    <col min="1" max="1" width="15.1640625" style="1" bestFit="1" customWidth="1"/>
    <col min="2" max="2" width="17.1640625" style="1" bestFit="1" customWidth="1"/>
    <col min="3" max="3" width="12.1640625" style="1" bestFit="1" customWidth="1"/>
    <col min="4" max="4" width="16.6640625" style="1" bestFit="1" customWidth="1"/>
    <col min="5" max="5" width="13.1640625" style="1" bestFit="1" customWidth="1"/>
    <col min="6" max="6" width="13" style="1" bestFit="1" customWidth="1"/>
    <col min="7" max="7" width="17.6640625" style="1" bestFit="1" customWidth="1"/>
    <col min="8" max="8" width="13.1640625" style="1" bestFit="1" customWidth="1"/>
    <col min="9" max="9" width="8.83203125" style="1" bestFit="1" customWidth="1"/>
    <col min="10" max="10" width="13.33203125" style="1" bestFit="1" customWidth="1"/>
    <col min="11" max="11" width="13.1640625" style="1" bestFit="1" customWidth="1"/>
    <col min="12" max="12" width="10.33203125" style="1" bestFit="1" customWidth="1"/>
    <col min="13" max="13" width="14.83203125" style="1" bestFit="1" customWidth="1"/>
    <col min="14" max="14" width="18.33203125" style="1" bestFit="1" customWidth="1"/>
    <col min="15" max="16384" width="11.1640625" style="1"/>
  </cols>
  <sheetData>
    <row r="1" spans="1:14" x14ac:dyDescent="0.15">
      <c r="A1" s="47" t="s">
        <v>37</v>
      </c>
      <c r="B1" s="55" t="s">
        <v>38</v>
      </c>
      <c r="C1" s="56" t="s">
        <v>39</v>
      </c>
      <c r="D1" s="48" t="s">
        <v>40</v>
      </c>
      <c r="E1" s="45" t="s">
        <v>41</v>
      </c>
      <c r="F1" s="61" t="s">
        <v>42</v>
      </c>
      <c r="G1" s="50" t="s">
        <v>43</v>
      </c>
      <c r="H1" s="57" t="s">
        <v>44</v>
      </c>
      <c r="I1" s="53" t="s">
        <v>45</v>
      </c>
      <c r="J1" s="54" t="s">
        <v>46</v>
      </c>
      <c r="K1" s="57" t="s">
        <v>47</v>
      </c>
      <c r="L1" s="59" t="s">
        <v>48</v>
      </c>
      <c r="M1" s="60" t="s">
        <v>49</v>
      </c>
      <c r="N1" s="46" t="s">
        <v>50</v>
      </c>
    </row>
    <row r="2" spans="1:14" ht="15" thickBot="1" x14ac:dyDescent="0.2">
      <c r="A2" s="44" t="s">
        <v>51</v>
      </c>
      <c r="B2" s="43">
        <v>500000</v>
      </c>
      <c r="C2" s="49">
        <v>3</v>
      </c>
      <c r="D2" s="51">
        <f>B2/C2</f>
        <v>166666.66666666666</v>
      </c>
      <c r="E2" s="42">
        <v>0.8</v>
      </c>
      <c r="F2" s="69">
        <f>C2/E2</f>
        <v>3.75</v>
      </c>
      <c r="G2" s="41">
        <f>B2/F2</f>
        <v>133333.33333333334</v>
      </c>
      <c r="H2" s="52">
        <v>0.4</v>
      </c>
      <c r="I2" s="68">
        <f>F2/H2</f>
        <v>9.375</v>
      </c>
      <c r="J2" s="41">
        <f>B2/I2</f>
        <v>53333.333333333336</v>
      </c>
      <c r="K2" s="52">
        <v>0.3</v>
      </c>
      <c r="L2" s="68">
        <f>I2/K2</f>
        <v>31.25</v>
      </c>
      <c r="M2" s="41">
        <f>B2/L2</f>
        <v>16000</v>
      </c>
      <c r="N2" s="58">
        <f>E2*H2*K2</f>
        <v>9.6000000000000016E-2</v>
      </c>
    </row>
    <row r="3" spans="1:14" ht="15" thickBot="1" x14ac:dyDescent="0.2">
      <c r="A3" s="1" t="s">
        <v>52</v>
      </c>
      <c r="B3" s="43">
        <f>C3*D2</f>
        <v>166666.66666666666</v>
      </c>
      <c r="C3" s="42">
        <v>1</v>
      </c>
      <c r="D3" s="51">
        <f>B3/C3</f>
        <v>166666.66666666666</v>
      </c>
      <c r="E3" s="42">
        <v>0.8</v>
      </c>
      <c r="F3" s="69">
        <f>C3/E3</f>
        <v>1.25</v>
      </c>
      <c r="G3" s="41">
        <f>B3/F3</f>
        <v>133333.33333333331</v>
      </c>
      <c r="H3" s="52">
        <v>0.4</v>
      </c>
      <c r="I3" s="68">
        <f>F3/H3</f>
        <v>3.125</v>
      </c>
      <c r="J3" s="41">
        <f>B3/I3</f>
        <v>53333.333333333328</v>
      </c>
      <c r="K3" s="52">
        <v>0.3</v>
      </c>
      <c r="L3" s="68">
        <f>I3/K3</f>
        <v>10.416666666666668</v>
      </c>
      <c r="M3" s="41">
        <f>B3/L3</f>
        <v>15999.999999999996</v>
      </c>
      <c r="N3" s="58">
        <f>E3*H3*K3</f>
        <v>9.6000000000000016E-2</v>
      </c>
    </row>
    <row r="4" spans="1:14" ht="15" thickBot="1" x14ac:dyDescent="0.2">
      <c r="A4" s="1" t="s">
        <v>53</v>
      </c>
      <c r="B4" s="43">
        <f>C4*D2</f>
        <v>333333.33333333331</v>
      </c>
      <c r="C4" s="42">
        <v>2</v>
      </c>
      <c r="D4" s="51">
        <f>B4/C4</f>
        <v>166666.66666666666</v>
      </c>
      <c r="E4" s="42">
        <v>0.8</v>
      </c>
      <c r="F4" s="69">
        <f>C4/E4</f>
        <v>2.5</v>
      </c>
      <c r="G4" s="41">
        <f>B4/F4</f>
        <v>133333.33333333331</v>
      </c>
      <c r="H4" s="52">
        <v>0.4</v>
      </c>
      <c r="I4" s="68">
        <f>F4/H4</f>
        <v>6.25</v>
      </c>
      <c r="J4" s="41">
        <f>B4/I4</f>
        <v>53333.333333333328</v>
      </c>
      <c r="K4" s="52">
        <v>0.3</v>
      </c>
      <c r="L4" s="68">
        <f>I4/K4</f>
        <v>20.833333333333336</v>
      </c>
      <c r="M4" s="41">
        <f>B4/L4</f>
        <v>15999.999999999996</v>
      </c>
      <c r="N4" s="58">
        <f>E4*H4*K4</f>
        <v>9.6000000000000016E-2</v>
      </c>
    </row>
    <row r="5" spans="1:14" ht="15" thickBot="1" x14ac:dyDescent="0.2">
      <c r="A5" s="1" t="s">
        <v>54</v>
      </c>
      <c r="B5" s="43">
        <f>C5*D2</f>
        <v>500000</v>
      </c>
      <c r="C5" s="42">
        <v>3</v>
      </c>
      <c r="D5" s="51">
        <f>B5/C5</f>
        <v>166666.66666666666</v>
      </c>
      <c r="E5" s="42">
        <v>0.8</v>
      </c>
      <c r="F5" s="69">
        <f>C5/E5</f>
        <v>3.75</v>
      </c>
      <c r="G5" s="41">
        <f>B5/F5</f>
        <v>133333.33333333334</v>
      </c>
      <c r="H5" s="52">
        <v>0.4</v>
      </c>
      <c r="I5" s="68">
        <f>F5/H5</f>
        <v>9.375</v>
      </c>
      <c r="J5" s="41">
        <f>B5/I5</f>
        <v>53333.333333333336</v>
      </c>
      <c r="K5" s="52">
        <v>0.3</v>
      </c>
      <c r="L5" s="68">
        <f>I5/K5</f>
        <v>31.25</v>
      </c>
      <c r="M5" s="41">
        <f>B5/L5</f>
        <v>16000</v>
      </c>
      <c r="N5" s="58">
        <f>E5*H5*K5</f>
        <v>9.6000000000000016E-2</v>
      </c>
    </row>
    <row r="6" spans="1:14" ht="15" thickBot="1" x14ac:dyDescent="0.2">
      <c r="A6" s="1" t="s">
        <v>55</v>
      </c>
      <c r="B6" s="43">
        <f>C6*D2</f>
        <v>500000</v>
      </c>
      <c r="C6" s="42">
        <v>3</v>
      </c>
      <c r="D6" s="51">
        <f>B6/C6</f>
        <v>166666.66666666666</v>
      </c>
      <c r="E6" s="42">
        <v>0.8</v>
      </c>
      <c r="F6" s="69">
        <f>C6/E6</f>
        <v>3.75</v>
      </c>
      <c r="G6" s="41">
        <f>B6/F6</f>
        <v>133333.33333333334</v>
      </c>
      <c r="H6" s="52">
        <v>0.4</v>
      </c>
      <c r="I6" s="68">
        <f>F6/H6</f>
        <v>9.375</v>
      </c>
      <c r="J6" s="41">
        <f>B6/I6</f>
        <v>53333.333333333336</v>
      </c>
      <c r="K6" s="52">
        <v>0.3</v>
      </c>
      <c r="L6" s="68">
        <f>I6/K6</f>
        <v>31.25</v>
      </c>
      <c r="M6" s="41">
        <f>B6/L6</f>
        <v>16000</v>
      </c>
      <c r="N6" s="58">
        <f>E6*H6*K6</f>
        <v>9.6000000000000016E-2</v>
      </c>
    </row>
    <row r="26" spans="1:14" ht="15" thickBot="1" x14ac:dyDescent="0.2"/>
    <row r="27" spans="1:14" x14ac:dyDescent="0.15">
      <c r="B27" s="55" t="s">
        <v>56</v>
      </c>
      <c r="C27" s="56" t="s">
        <v>57</v>
      </c>
      <c r="D27" s="48" t="s">
        <v>40</v>
      </c>
      <c r="E27" s="45" t="s">
        <v>41</v>
      </c>
      <c r="F27" s="61" t="s">
        <v>58</v>
      </c>
      <c r="G27" s="50" t="s">
        <v>43</v>
      </c>
      <c r="H27" s="57" t="s">
        <v>44</v>
      </c>
      <c r="I27" s="53" t="s">
        <v>59</v>
      </c>
      <c r="J27" s="54" t="s">
        <v>46</v>
      </c>
      <c r="K27" s="57" t="s">
        <v>47</v>
      </c>
      <c r="L27" s="59" t="s">
        <v>60</v>
      </c>
      <c r="M27" s="60" t="s">
        <v>49</v>
      </c>
      <c r="N27" s="46" t="s">
        <v>50</v>
      </c>
    </row>
    <row r="28" spans="1:14" ht="15" thickBot="1" x14ac:dyDescent="0.2">
      <c r="A28" s="1" t="s">
        <v>52</v>
      </c>
      <c r="B28" s="43">
        <f>B2-D28</f>
        <v>500000</v>
      </c>
      <c r="C28" s="42">
        <v>1</v>
      </c>
      <c r="D28" s="67">
        <v>0</v>
      </c>
      <c r="E28" s="63">
        <v>0.5</v>
      </c>
      <c r="F28" s="62">
        <v>1</v>
      </c>
      <c r="G28" s="41">
        <f>B28/F28</f>
        <v>500000</v>
      </c>
      <c r="H28" s="49">
        <v>0.5</v>
      </c>
      <c r="I28" s="65">
        <v>5</v>
      </c>
      <c r="J28" s="41">
        <f>B28/I28</f>
        <v>100000</v>
      </c>
      <c r="K28" s="66">
        <f>I28/L28</f>
        <v>0.625</v>
      </c>
      <c r="L28" s="65">
        <v>8</v>
      </c>
      <c r="M28" s="41">
        <f>B28/L28</f>
        <v>62500</v>
      </c>
      <c r="N28" s="58">
        <f>E28*H28*K28</f>
        <v>0.15625</v>
      </c>
    </row>
    <row r="29" spans="1:14" ht="15" thickBot="1" x14ac:dyDescent="0.2">
      <c r="A29" s="1" t="s">
        <v>53</v>
      </c>
      <c r="B29" s="43">
        <f>B28-C29*D29</f>
        <v>350000</v>
      </c>
      <c r="C29" s="42">
        <v>1</v>
      </c>
      <c r="D29" s="67">
        <v>150000</v>
      </c>
      <c r="E29" s="63">
        <f>C29/F29</f>
        <v>0.5</v>
      </c>
      <c r="F29" s="62">
        <v>2</v>
      </c>
      <c r="G29" s="41">
        <f>B29/F29</f>
        <v>175000</v>
      </c>
      <c r="H29" s="66">
        <f>F29/I29</f>
        <v>0.33333333333333331</v>
      </c>
      <c r="I29" s="65">
        <v>6</v>
      </c>
      <c r="J29" s="41">
        <f>B29/I29</f>
        <v>58333.333333333336</v>
      </c>
      <c r="K29" s="49">
        <f>I29/L29</f>
        <v>0.5</v>
      </c>
      <c r="L29" s="65">
        <v>12</v>
      </c>
      <c r="M29" s="41">
        <f>B29/L29</f>
        <v>29166.666666666668</v>
      </c>
      <c r="N29" s="58">
        <f>E29*H29*K29</f>
        <v>8.3333333333333329E-2</v>
      </c>
    </row>
    <row r="30" spans="1:14" ht="15" thickBot="1" x14ac:dyDescent="0.2">
      <c r="A30" s="1" t="s">
        <v>54</v>
      </c>
      <c r="B30" s="43">
        <f>B29-C30*D30</f>
        <v>200000</v>
      </c>
      <c r="C30" s="42">
        <v>2</v>
      </c>
      <c r="D30" s="67">
        <v>75000</v>
      </c>
      <c r="E30" s="63">
        <f>C30/F30</f>
        <v>0.4</v>
      </c>
      <c r="F30" s="62">
        <v>5</v>
      </c>
      <c r="G30" s="41">
        <f>B30/F30</f>
        <v>40000</v>
      </c>
      <c r="H30" s="49">
        <f>F30/I30</f>
        <v>0.5</v>
      </c>
      <c r="I30" s="65">
        <v>10</v>
      </c>
      <c r="J30" s="41">
        <f>B30/I30</f>
        <v>20000</v>
      </c>
      <c r="K30" s="49">
        <f>I30/L30</f>
        <v>0.5</v>
      </c>
      <c r="L30" s="65">
        <v>20</v>
      </c>
      <c r="M30" s="41">
        <f>B30/L30</f>
        <v>10000</v>
      </c>
      <c r="N30" s="58">
        <f>E30*H30*K30</f>
        <v>0.1</v>
      </c>
    </row>
    <row r="31" spans="1:14" ht="15" thickBot="1" x14ac:dyDescent="0.2">
      <c r="A31" s="1" t="s">
        <v>55</v>
      </c>
      <c r="B31" s="43">
        <f>B30-C31*D31</f>
        <v>40000</v>
      </c>
      <c r="C31" s="42">
        <v>4</v>
      </c>
      <c r="D31" s="67">
        <v>40000</v>
      </c>
      <c r="E31" s="64">
        <f>C31/F31</f>
        <v>0.66666666666666663</v>
      </c>
      <c r="F31" s="62">
        <v>6</v>
      </c>
      <c r="G31" s="41">
        <f>B31/F31</f>
        <v>6666.666666666667</v>
      </c>
      <c r="H31" s="66">
        <f>F31/I31</f>
        <v>0.6</v>
      </c>
      <c r="I31" s="65">
        <v>10</v>
      </c>
      <c r="J31" s="41">
        <f>B31/I31</f>
        <v>4000</v>
      </c>
      <c r="K31" s="66">
        <f>I31/L31</f>
        <v>0.47619047619047616</v>
      </c>
      <c r="L31" s="65">
        <v>21</v>
      </c>
      <c r="M31" s="41">
        <f>B31/L31</f>
        <v>1904.7619047619048</v>
      </c>
      <c r="N31" s="58">
        <f>E31*H31*K31</f>
        <v>0.19047619047619044</v>
      </c>
    </row>
  </sheetData>
  <phoneticPr fontId="5" type="noConversion"/>
  <pageMargins left="0.74803149606299202" right="0.47244094488189003" top="1.4173228346456701" bottom="0.78740157480314998" header="0.59448818897637801" footer="0.39370078740157499"/>
  <pageSetup paperSize="9" orientation="portrait" r:id="rId1"/>
  <headerFooter scaleWithDoc="0">
    <oddHeader>&amp;R&amp;G&amp;L&amp;"Arial"&amp;13 Titel über Tabellenblatt 'Dokumenteninformationen' pflegen_x000D_&amp;"Arial"&amp;11 Betreff/Projekt über Tabellenblatt "Dokumenteninformation" pflegen</oddHeader>
    <oddFooter>&amp;R&amp;8
&amp;P / &amp;N&amp;L&amp;"Arial"&amp;08 Sales_KPI .xlsm · Version: 0.1 · Status: Entwurf, Vertraulich · _x000D_ IAV-Basisvorlage-minimal_V2.0 · © IAV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72AE2-9889-4640-BADD-0EF6CD88A113}">
  <sheetPr codeName="Tabelle5"/>
  <dimension ref="A1:H5"/>
  <sheetViews>
    <sheetView tabSelected="1" zoomScaleNormal="100" workbookViewId="0">
      <selection activeCell="G5" sqref="G5"/>
    </sheetView>
  </sheetViews>
  <sheetFormatPr baseColWidth="10" defaultColWidth="11.1640625" defaultRowHeight="14" x14ac:dyDescent="0.15"/>
  <cols>
    <col min="1" max="5" width="11.1640625" customWidth="1"/>
  </cols>
  <sheetData>
    <row r="1" spans="1:8" x14ac:dyDescent="0.15">
      <c r="A1" t="str">
        <f>'Tabelle (1)'!L1</f>
        <v>Leads (soll)</v>
      </c>
      <c r="B1" t="str">
        <f>'Tabelle (1)'!L27</f>
        <v>Leads (ist)</v>
      </c>
      <c r="C1" t="str">
        <f>'Tabelle (1)'!I1</f>
        <v>VCs (soll)</v>
      </c>
      <c r="D1" t="str">
        <f>'Tabelle (1)'!I27</f>
        <v>VCs (ist)</v>
      </c>
      <c r="E1" t="str">
        <f>'Tabelle (1)'!F1</f>
        <v>Angebote (soll)</v>
      </c>
      <c r="F1" t="str">
        <f>'Tabelle (1)'!F27</f>
        <v>Angebote (ist)</v>
      </c>
      <c r="G1" t="str">
        <f>'Tabelle (1)'!C1</f>
        <v>Aufträge (soll)</v>
      </c>
      <c r="H1" t="str">
        <f>'Tabelle (1)'!C27</f>
        <v>Aufträge (ist)</v>
      </c>
    </row>
    <row r="2" spans="1:8" x14ac:dyDescent="0.15">
      <c r="A2">
        <f>'Tabelle (1)'!L3</f>
        <v>10.416666666666668</v>
      </c>
      <c r="B2">
        <f>'Tabelle (1)'!L28</f>
        <v>8</v>
      </c>
      <c r="C2">
        <f>'Tabelle (1)'!I3</f>
        <v>3.125</v>
      </c>
      <c r="D2">
        <f>'Tabelle (1)'!I28</f>
        <v>5</v>
      </c>
      <c r="E2">
        <f>'Tabelle (1)'!F3</f>
        <v>1.25</v>
      </c>
      <c r="F2">
        <f>'Tabelle (1)'!F28</f>
        <v>1</v>
      </c>
      <c r="G2">
        <f>'Tabelle (1)'!C3</f>
        <v>1</v>
      </c>
      <c r="H2">
        <f>'Tabelle (1)'!C28</f>
        <v>1</v>
      </c>
    </row>
    <row r="3" spans="1:8" x14ac:dyDescent="0.15">
      <c r="A3">
        <f>'Tabelle (1)'!L4</f>
        <v>20.833333333333336</v>
      </c>
      <c r="B3">
        <f>'Tabelle (1)'!L29</f>
        <v>12</v>
      </c>
      <c r="C3">
        <f>'Tabelle (1)'!I4</f>
        <v>6.25</v>
      </c>
      <c r="D3">
        <f>'Tabelle (1)'!I29</f>
        <v>6</v>
      </c>
      <c r="E3">
        <f>'Tabelle (1)'!F4</f>
        <v>2.5</v>
      </c>
      <c r="F3">
        <f>'Tabelle (1)'!F29</f>
        <v>2</v>
      </c>
      <c r="G3">
        <f>'Tabelle (1)'!C4</f>
        <v>2</v>
      </c>
      <c r="H3">
        <f>'Tabelle (1)'!C29</f>
        <v>1</v>
      </c>
    </row>
    <row r="4" spans="1:8" x14ac:dyDescent="0.15">
      <c r="A4">
        <f>'Tabelle (1)'!L5</f>
        <v>31.25</v>
      </c>
      <c r="B4">
        <f>'Tabelle (1)'!L30</f>
        <v>20</v>
      </c>
      <c r="C4">
        <f>'Tabelle (1)'!I5</f>
        <v>9.375</v>
      </c>
      <c r="D4">
        <f>'Tabelle (1)'!I30</f>
        <v>10</v>
      </c>
      <c r="E4">
        <f>'Tabelle (1)'!F5</f>
        <v>3.75</v>
      </c>
      <c r="F4">
        <f>'Tabelle (1)'!F30</f>
        <v>5</v>
      </c>
      <c r="G4">
        <f>'Tabelle (1)'!C5</f>
        <v>3</v>
      </c>
      <c r="H4">
        <f>'Tabelle (1)'!C30</f>
        <v>2</v>
      </c>
    </row>
    <row r="5" spans="1:8" x14ac:dyDescent="0.15">
      <c r="A5">
        <f>'Tabelle (1)'!L6</f>
        <v>31.25</v>
      </c>
      <c r="B5">
        <f>'Tabelle (1)'!L31</f>
        <v>21</v>
      </c>
      <c r="C5">
        <f>'Tabelle (1)'!I6</f>
        <v>9.375</v>
      </c>
      <c r="D5">
        <f>'Tabelle (1)'!I31</f>
        <v>10</v>
      </c>
      <c r="E5">
        <f>'Tabelle (1)'!F6</f>
        <v>3.75</v>
      </c>
      <c r="F5">
        <f>'Tabelle (1)'!F31</f>
        <v>6</v>
      </c>
      <c r="G5">
        <f>'Tabelle (1)'!C6</f>
        <v>3</v>
      </c>
      <c r="H5">
        <f>'Tabelle (1)'!C31</f>
        <v>4</v>
      </c>
    </row>
  </sheetData>
  <pageMargins left="0.74803149606299202" right="0.47244094488189003" top="1.4173228346456701" bottom="0.78740157480314998" header="0.59448818897637801" footer="0.39370078740157499"/>
  <pageSetup paperSize="9" orientation="portrait" r:id="rId1"/>
  <headerFooter scaleWithDoc="0">
    <oddHeader>&amp;R&amp;G&amp;L&amp;"Arial"&amp;13 Titel über Tabellenblatt 'Dokumenteninformationen' pflegen_x000D_&amp;"Arial"&amp;11 Betreff/Projekt über Tabellenblatt "Dokumenteninformation" pflegen</oddHeader>
    <oddFooter>&amp;R&amp;8&amp;P / &amp;N&amp;L&amp;"Arial"&amp;08 Sales_KPI .xlsm · Version: 0.1 · Status: Entwurf, Vertraulich · _x000D_ IAV-Basisvorlage-minimal_V2.0 · © IAV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60272E5B830E9440AD56F1996209C14A" ma:contentTypeVersion="4" ma:contentTypeDescription="Ein neues Dokument erstellen." ma:contentTypeScope="" ma:versionID="289a66e50da24e163349ae8944ba443d">
  <xsd:schema xmlns:xsd="http://www.w3.org/2001/XMLSchema" xmlns:xs="http://www.w3.org/2001/XMLSchema" xmlns:p="http://schemas.microsoft.com/office/2006/metadata/properties" xmlns:ns2="1a8e45bf-49e0-45f1-925f-d020baddee33" targetNamespace="http://schemas.microsoft.com/office/2006/metadata/properties" ma:root="true" ma:fieldsID="b5bf615a99b2656127e9993042249114" ns2:_="">
    <xsd:import namespace="1a8e45bf-49e0-45f1-925f-d020baddee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8e45bf-49e0-45f1-925f-d020baddee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137695-ED1B-4870-93FA-717925C42F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8e45bf-49e0-45f1-925f-d020baddee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525F65E-2266-4A26-B120-FFAB2C36FA7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0A2AF2D-EC6B-4F05-95F6-31013AAC25F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Variablen_NICHT_LÖSCHEN</vt:lpstr>
      <vt:lpstr>Tabelle_Vorlage_NICHT_LÖSCHEN</vt:lpstr>
      <vt:lpstr>Dokumenteninformation</vt:lpstr>
      <vt:lpstr>Tabelle (1)</vt:lpstr>
      <vt:lpstr>Tabelle (2)</vt:lpstr>
      <vt:lpstr>Author</vt:lpstr>
      <vt:lpstr>Confidentiality</vt:lpstr>
      <vt:lpstr>Created</vt:lpstr>
      <vt:lpstr>Created_By</vt:lpstr>
      <vt:lpstr>Dokumenteninformation!Print_Area</vt:lpstr>
      <vt:lpstr>Dokumenteninformation!Print_Titles</vt:lpstr>
      <vt:lpstr>Released</vt:lpstr>
      <vt:lpstr>Released_By</vt:lpstr>
      <vt:lpstr>Reviewed</vt:lpstr>
      <vt:lpstr>Reviewed_By</vt:lpstr>
      <vt:lpstr>Sign_Method</vt:lpstr>
      <vt:lpstr>Status_Information</vt:lpstr>
      <vt:lpstr>Subject</vt:lpstr>
      <vt:lpstr>Title</vt:lpstr>
      <vt:lpstr>V_Security_Classification</vt:lpstr>
      <vt:lpstr>V_Status</vt:lpstr>
      <vt:lpstr>Version</vt:lpstr>
    </vt:vector>
  </TitlesOfParts>
  <Manager>https://stages.iavgroup.local/stages/#/workspace/211/_vv/(process/guidance/_fuFboDsMcQmYY-1vp0hRGw)</Manager>
  <Company>IAV GmbH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Titel über Tabellenblatt 'Dokumenteninformationen' pflegen</dc:title>
  <dc:subject>Betreff/Projekt über Tabellenblatt "Dokumenteninformation" pflegen</dc:subject>
  <dc:creator>Max Mustermann</dc:creator>
  <cp:keywords/>
  <dc:description>Test</dc:description>
  <cp:lastModifiedBy>Seyedalireza Shafieebanadaki</cp:lastModifiedBy>
  <cp:revision>29</cp:revision>
  <dcterms:created xsi:type="dcterms:W3CDTF">2024-04-16T11:05:22Z</dcterms:created>
  <dcterms:modified xsi:type="dcterms:W3CDTF">2025-01-27T22:34:09Z</dcterms:modified>
  <cp:category>Lenkung dokumentierter Informationen</cp:category>
  <cp:contentStatus>Entwurf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emplateName">
    <vt:lpwstr>IAV-Basisvorlage-minimal</vt:lpwstr>
  </property>
  <property fmtid="{D5CDD505-2E9C-101B-9397-08002B2CF9AE}" pid="3" name="TemplateVersion">
    <vt:lpwstr>V2.0</vt:lpwstr>
  </property>
  <property fmtid="{D5CDD505-2E9C-101B-9397-08002B2CF9AE}" pid="4" name="MSIP_Label_eda87506-7fda-481d-a14b-4a8fe5add330_Enabled">
    <vt:lpwstr>true</vt:lpwstr>
  </property>
  <property fmtid="{D5CDD505-2E9C-101B-9397-08002B2CF9AE}" pid="5" name="MSIP_Label_eda87506-7fda-481d-a14b-4a8fe5add330_SetDate">
    <vt:lpwstr>2022-01-20T09:28:37Z</vt:lpwstr>
  </property>
  <property fmtid="{D5CDD505-2E9C-101B-9397-08002B2CF9AE}" pid="6" name="MSIP_Label_eda87506-7fda-481d-a14b-4a8fe5add330_Method">
    <vt:lpwstr>Privileged</vt:lpwstr>
  </property>
  <property fmtid="{D5CDD505-2E9C-101B-9397-08002B2CF9AE}" pid="7" name="MSIP_Label_eda87506-7fda-481d-a14b-4a8fe5add330_Name">
    <vt:lpwstr>internal</vt:lpwstr>
  </property>
  <property fmtid="{D5CDD505-2E9C-101B-9397-08002B2CF9AE}" pid="8" name="MSIP_Label_eda87506-7fda-481d-a14b-4a8fe5add330_SiteId">
    <vt:lpwstr>cd726fc8-636c-4794-8425-41f9d8b0d7d5</vt:lpwstr>
  </property>
  <property fmtid="{D5CDD505-2E9C-101B-9397-08002B2CF9AE}" pid="9" name="MSIP_Label_eda87506-7fda-481d-a14b-4a8fe5add330_ActionId">
    <vt:lpwstr>e069f8d6-d05b-42bd-bd2a-eb2a7f7554fa</vt:lpwstr>
  </property>
  <property fmtid="{D5CDD505-2E9C-101B-9397-08002B2CF9AE}" pid="10" name="MSIP_Label_eda87506-7fda-481d-a14b-4a8fe5add330_ContentBits">
    <vt:lpwstr>0</vt:lpwstr>
  </property>
  <property fmtid="{D5CDD505-2E9C-101B-9397-08002B2CF9AE}" pid="11" name="ContentTypeId">
    <vt:lpwstr>0x01010060272E5B830E9440AD56F1996209C14A</vt:lpwstr>
  </property>
  <property fmtid="{D5CDD505-2E9C-101B-9397-08002B2CF9AE}" pid="12" name="IAV_VERSION" linkTarget="Version">
    <vt:lpwstr>0.1</vt:lpwstr>
  </property>
  <property fmtid="{D5CDD505-2E9C-101B-9397-08002B2CF9AE}" pid="13" name="IAV_CONFIDENTIAL_LEVEL" linkTarget="Confidentiality">
    <vt:lpwstr>Vertraulich</vt:lpwstr>
  </property>
  <property fmtid="{D5CDD505-2E9C-101B-9397-08002B2CF9AE}" pid="14" name="IAV_LIFECYCLE_STATE" linkTarget="Status_Information">
    <vt:lpwstr>Entwurf</vt:lpwstr>
  </property>
  <property fmtid="{D5CDD505-2E9C-101B-9397-08002B2CF9AE}" pid="15" name="IAV_CREATED" linkTarget="Created">
    <vt:lpwstr/>
  </property>
  <property fmtid="{D5CDD505-2E9C-101B-9397-08002B2CF9AE}" pid="16" name="IAV_CREATED_BY" linkTarget="Created_By">
    <vt:lpwstr/>
  </property>
  <property fmtid="{D5CDD505-2E9C-101B-9397-08002B2CF9AE}" pid="17" name="IAV_REVIEWED" linkTarget="Reviewed">
    <vt:lpwstr/>
  </property>
  <property fmtid="{D5CDD505-2E9C-101B-9397-08002B2CF9AE}" pid="18" name="IAV_REVIEWED_BY" linkTarget="Reviewed_By">
    <vt:lpwstr/>
  </property>
  <property fmtid="{D5CDD505-2E9C-101B-9397-08002B2CF9AE}" pid="19" name="IAV_RELEASED" linkTarget="Released">
    <vt:lpwstr/>
  </property>
  <property fmtid="{D5CDD505-2E9C-101B-9397-08002B2CF9AE}" pid="20" name="IAV_RELEASED_BY" linkTarget="Released_By">
    <vt:lpwstr/>
  </property>
  <property fmtid="{D5CDD505-2E9C-101B-9397-08002B2CF9AE}" pid="21" name="IAV_SIGN_METHOD" linkTarget="SIgn_Method">
    <vt:lpwstr> </vt:lpwstr>
  </property>
  <property fmtid="{D5CDD505-2E9C-101B-9397-08002B2CF9AE}" pid="22" name="IAV_TITLE" linkTarget="Title">
    <vt:lpwstr>Titel über Tabellenblatt 'Dokumenteninformationen' pflegen</vt:lpwstr>
  </property>
  <property fmtid="{D5CDD505-2E9C-101B-9397-08002B2CF9AE}" pid="23" name="IAV_SUBJECT" linkTarget="Subject">
    <vt:lpwstr>Betreff/Projekt über Tabellenblatt "Dokumenteninformation" pflegen</vt:lpwstr>
  </property>
  <property fmtid="{D5CDD505-2E9C-101B-9397-08002B2CF9AE}" pid="24" name="IAV_AUTHOR" linkTarget="Author">
    <vt:lpwstr>Max Mustermann</vt:lpwstr>
  </property>
</Properties>
</file>